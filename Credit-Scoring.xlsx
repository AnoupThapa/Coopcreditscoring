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estions" sheetId="1" r:id="rId5"/>
    <sheet state="visible" name="Data" sheetId="2" r:id="rId6"/>
    <sheet state="visible" name="Calculations" sheetId="3" r:id="rId7"/>
    <sheet state="visible" name="Model" sheetId="4" r:id="rId8"/>
    <sheet state="visible" name="DropdownOptions" sheetId="5" r:id="rId9"/>
    <sheet state="visible" name="Submissions" sheetId="6" r:id="rId10"/>
    <sheet state="visible" name="Users" sheetId="7" r:id="rId11"/>
    <sheet state="visible" name="Submission" sheetId="8" r:id="rId12"/>
  </sheets>
  <definedNames/>
  <calcPr/>
</workbook>
</file>

<file path=xl/sharedStrings.xml><?xml version="1.0" encoding="utf-8"?>
<sst xmlns="http://schemas.openxmlformats.org/spreadsheetml/2006/main" count="833" uniqueCount="544">
  <si>
    <t>S.N</t>
  </si>
  <si>
    <t>Questionnaire</t>
  </si>
  <si>
    <t>Bifurcation</t>
  </si>
  <si>
    <t>Value</t>
  </si>
  <si>
    <t>Placeholder</t>
  </si>
  <si>
    <t>Dummy</t>
  </si>
  <si>
    <t>सहकारीको नाम के हो?(What is the name of the cooperative?)</t>
  </si>
  <si>
    <t>coop_name</t>
  </si>
  <si>
    <t>ABC Cooperative</t>
  </si>
  <si>
    <t>सहकारी कुन मोडेलमा चलिरहेको छ? (A / B)(Which model does the cooperative operate under?)</t>
  </si>
  <si>
    <t>model_type</t>
  </si>
  <si>
    <t>Milk Collection Only</t>
  </si>
  <si>
    <t>सहकारी ऋण नयाँ हो कि पहिलेबाट छ?(Is the loan new or existing?)</t>
  </si>
  <si>
    <t>is_existing</t>
  </si>
  <si>
    <t>New</t>
  </si>
  <si>
    <t>Existing</t>
  </si>
  <si>
    <t>सहकारी कति वर्षदेखि सञ्चालनमा छ?(How many years has the cooperative been operating?)</t>
  </si>
  <si>
    <t>years_operation</t>
  </si>
  <si>
    <t>सहकारीको कार्यालय कहाँ छ?(Where is the cooperative office located?)</t>
  </si>
  <si>
    <t>office_location</t>
  </si>
  <si>
    <t>KTM</t>
  </si>
  <si>
    <t>हाल चालु ऋणको बाँकी रकम कति छ?(What is the outstanding amount of the existing loan?)</t>
  </si>
  <si>
    <t>existing_loan_amt</t>
  </si>
  <si>
    <t>नयाँ प्रस्तावित ऋण रकम कति हो?(What is the proposed new loan amount?)</t>
  </si>
  <si>
    <t>proposed_loan_amt</t>
  </si>
  <si>
    <t>जम्मा ऋण (पुरानो + नयाँ) कति हुन्छ?(What will be the total loan (existing + new)?)</t>
  </si>
  <si>
    <t>Total Loan</t>
  </si>
  <si>
    <t>ऋणको ब्याजदर कति प्रतिशत छ?(What is the interest rate (%)?)</t>
  </si>
  <si>
    <t>interest_rate</t>
  </si>
  <si>
    <t>ऋण तिर्ने अवधि कति महिना हो?(What is the loan tenure (in months)?)</t>
  </si>
  <si>
    <t>loan_tenure_months</t>
  </si>
  <si>
    <t>किस्ताको भुक्तानी आवृत्ति के हो? (महिना / त्रैमासिक आदि)(What is the installment frequency (monthly/quarterly etc.)?)</t>
  </si>
  <si>
    <t>repayment_frequency</t>
  </si>
  <si>
    <t>Monthly</t>
  </si>
  <si>
    <t>दूध बिक्रीबाट कति आम्दानी हुन्छ?(Income from milk sales?)</t>
  </si>
  <si>
    <t>milk_sales</t>
  </si>
  <si>
    <t>अन्य उत्पादन बिक्रीबाट कति आम्दानी हुन्छ?(Income from other product sales?)</t>
  </si>
  <si>
    <t>product_sales</t>
  </si>
  <si>
    <t>अन्य आम्दानी कति छ?(Other income amount?)</t>
  </si>
  <si>
    <t>other_sales</t>
  </si>
  <si>
    <t>कुल बिक्री कति छ?(Total sales?)</t>
  </si>
  <si>
    <t>Total Sales</t>
  </si>
  <si>
    <t>अनुदानबाट कति आम्दानी भएको छ?(Income from grants/subsidies?)</t>
  </si>
  <si>
    <t>grant_income</t>
  </si>
  <si>
    <t>Total Revenue (कुल आम्दानी)</t>
  </si>
  <si>
    <t>Total_Revenue</t>
  </si>
  <si>
    <t>बैंक मार्फत भएको बिक्री कति छ?(Sales received through bank?)</t>
  </si>
  <si>
    <t>bank_sales</t>
  </si>
  <si>
    <t>जम्मा खरिदकर्ता संख्या कति छ?(Total number of buyers?)</t>
  </si>
  <si>
    <t>total_number_of_buyers</t>
  </si>
  <si>
    <t>शीर्ष ५ खरिदकर्ताबाट कति बिक्री हुन्छ?(Sales from top 5 buyers?)</t>
  </si>
  <si>
    <t>top5_buyers_sales</t>
  </si>
  <si>
    <t>सबैभन्दा ठूलो एक जना खरिदकर्ताबाट कति बिक्री हुन्छ?(Sales from largest single buyer?)</t>
  </si>
  <si>
    <t>largest_buyer_sales</t>
  </si>
  <si>
    <t>सरकारी निकायलाई कति बिक्री हुन्छ?(Sales to government entities?)</t>
  </si>
  <si>
    <t>gov_buyer_sales</t>
  </si>
  <si>
    <t>कति सरकारी निकायलाई बिक्री हुन्छ?No of government entities buyer?)</t>
  </si>
  <si>
    <t>no_govt_buyers</t>
  </si>
  <si>
    <t>ठूला निजी डेरीलाई कति बिक्री हुन्छ?(Sales to large private dairies?)</t>
  </si>
  <si>
    <t>large_private_buyer_sales</t>
  </si>
  <si>
    <t>कति निजी डेरीलाई बिक्री हुन्छ?(No. of large/private sector buyers?)</t>
  </si>
  <si>
    <t>no_private_sector_buyer</t>
  </si>
  <si>
    <t>साना वा अनिश्चित खरिदकर्तालाई कति बिक्री हुन्छ?(Sales to small/unreliable buyers?)</t>
  </si>
  <si>
    <t>small_buyer_sales</t>
  </si>
  <si>
    <t>कति साना वा अनिश्चित खरिदकर्तालाई बिक्री हुन्छ?(No. of small/unreliable buyers?)</t>
  </si>
  <si>
    <t>no_small_buyer_sales</t>
  </si>
  <si>
    <t>खरिदकर्ताले भुक्तानी गर्न औसत कति दिन लिन्छन्?(Average collection period (days)?)</t>
  </si>
  <si>
    <t>avg_payment_days_buyers</t>
  </si>
  <si>
    <t>कच्चा दूध किन्न कति खर्च हुन्छ?(Cost of raw milk purchase?)</t>
  </si>
  <si>
    <t>raw_milk_purchase_cost</t>
  </si>
  <si>
    <t>शीर्ष ५ खरिदकर्ताको हिस्सा कति प्रतिशत छ?(% share of top 5 buyers?)</t>
  </si>
  <si>
    <t>top5_buyer_share_percent</t>
  </si>
  <si>
    <t>सबैभन्दा ठूलो खरिदकर्ताको हिस्सा कति प्रतिशत छ?(% share of largest buyer?)</t>
  </si>
  <si>
    <t>largest_buyer_share_percent</t>
  </si>
  <si>
    <t>कति  बिक्री करार (Contract) मा छ?(no. of Buyers under contract?)</t>
  </si>
  <si>
    <t>contract_coverage</t>
  </si>
  <si>
    <t>प्रशोधन खर्च कति हुन्छ?(Processing cost?)</t>
  </si>
  <si>
    <t>processing_cost</t>
  </si>
  <si>
    <t>प्याकेजिङ खर्च कति हुन्छ?(Packaging cost?)</t>
  </si>
  <si>
    <t>packaging_cost</t>
  </si>
  <si>
    <t>ढुवानी खर्च कति हुन्छ?(Transportation cost?)</t>
  </si>
  <si>
    <t>transport_cost</t>
  </si>
  <si>
    <t>अन्य उत्पादन खर्च (Other Processign Cost?)</t>
  </si>
  <si>
    <t>other_processing_cost</t>
  </si>
  <si>
    <t>तलब खर्च कति छ?(Salary expense?)</t>
  </si>
  <si>
    <t>salary_expense</t>
  </si>
  <si>
    <t>प्रशासनिक खर्च कति छ?(Administrative expense?)</t>
  </si>
  <si>
    <t>admin_expense</t>
  </si>
  <si>
    <t>बिजुली खर्च कति छ?(Electricity expense?)</t>
  </si>
  <si>
    <t>electricity_expense</t>
  </si>
  <si>
    <t>इन्धन खर्च कति छ?(Fuel expense?)</t>
  </si>
  <si>
    <t>fuel_expense</t>
  </si>
  <si>
    <t>मर्मत खर्च कति छ?(Repair &amp; maintenance expense?)</t>
  </si>
  <si>
    <t>maintenance_expense</t>
  </si>
  <si>
    <t>भाडा खर्च कति छ?(Rent expense?)</t>
  </si>
  <si>
    <t>rent_expense</t>
  </si>
  <si>
    <t>अन्य सञ्चालन खर्च कति छ?(Other operating expenses?)</t>
  </si>
  <si>
    <t>other_operating_expense</t>
  </si>
  <si>
    <t>कुल सञ्चालन खर्च कति छ?(Total operating expenses?)</t>
  </si>
  <si>
    <t>Operating Expenses</t>
  </si>
  <si>
    <t>न्यूनतम (कम आम्दानी भएको महिना) खर्च कति छ?(Lowest monthly expense?)</t>
  </si>
  <si>
    <t>Minimum/lean_month_expense</t>
  </si>
  <si>
    <t>वार्षिक मूल्यह्रास कति छ?(Annual depreciation?)</t>
  </si>
  <si>
    <t>depreciation</t>
  </si>
  <si>
    <t>अमोर्टाइजेसन कति छ?(Amortization amount?)</t>
  </si>
  <si>
    <t>amortization</t>
  </si>
  <si>
    <t>हातमा नगद कति छ?(Cash in hand?)</t>
  </si>
  <si>
    <t>cash_on_hand</t>
  </si>
  <si>
    <t>बैंक खातामा कति रकम छ?(Bank balance?)</t>
  </si>
  <si>
    <t>bank_balance</t>
  </si>
  <si>
    <t>जम्मा नगद (हात + बैंक) कति छ?(Total cash (hand + bank)?)</t>
  </si>
  <si>
    <t>Total Cash</t>
  </si>
  <si>
    <t>पाउनु पर्ने रकम (Accounts Receivable) कति छ?(Accounts receivable amount?)</t>
  </si>
  <si>
    <t>accounts_receivable</t>
  </si>
  <si>
    <t>गोदाममा स्टक कति मूल्यको छ?(Inventory value?)</t>
  </si>
  <si>
    <t>inventory</t>
  </si>
  <si>
    <t>अग्रिम तिरेको खर्च कति छ?(Prepaid expenses?)</t>
  </si>
  <si>
    <t>prepaid_expense</t>
  </si>
  <si>
    <t>अन्य चालु सम्पत्ति कति छ?(Other current assets?)</t>
  </si>
  <si>
    <t>other_current_assets</t>
  </si>
  <si>
    <t>कुल चालु सम्पत्ति कति छ?(Total current assets?)</t>
  </si>
  <si>
    <t>current_assets</t>
  </si>
  <si>
    <t>जग्गाको मूल्य कति छ?(Land value?)</t>
  </si>
  <si>
    <t>land_value</t>
  </si>
  <si>
    <t>भवनको मूल्य कति छ?(Building value?)</t>
  </si>
  <si>
    <t>building_value</t>
  </si>
  <si>
    <t>मेसिनरीको मूल्य कति छ?(Machinery value?)</t>
  </si>
  <si>
    <t>plant_machinery_value</t>
  </si>
  <si>
    <t>सवारी साधनको मूल्य कति छ?(Vehicle value?)</t>
  </si>
  <si>
    <t>vehicle_value</t>
  </si>
  <si>
    <t>फर्निचरको मूल्य कति छ?(Furniture value?)</t>
  </si>
  <si>
    <t>furniture_value</t>
  </si>
  <si>
    <t>अन्य स्थिर सम्पत्ति कति छ?(Other fixed assets?)</t>
  </si>
  <si>
    <t>other_fixed_assets</t>
  </si>
  <si>
    <t>कुल अचल सम्पत्ति कति छ?(Total fixed assets?)</t>
  </si>
  <si>
    <t>Non-Current Assets</t>
  </si>
  <si>
    <t>कुल सम्पत्ति कति छ?(Total assets?)</t>
  </si>
  <si>
    <t>total_assets</t>
  </si>
  <si>
    <t>तिर्नुपर्ने बिल (Accounts Payable) कति छ?(Accounts payable?)</t>
  </si>
  <si>
    <t>accounts_payable</t>
  </si>
  <si>
    <t>छोटो अवधिको ऋण कति छ?(Short-term loan?)</t>
  </si>
  <si>
    <t>short_term_loan</t>
  </si>
  <si>
    <t>तिर्न बाँकी खर्च कति छ?(Accrued expenses?)</t>
  </si>
  <si>
    <t>accrued_expense</t>
  </si>
  <si>
    <t>दीर्घकालीन ऋणको चालु भाग कति छ?(Current portion of long-term debt?)</t>
  </si>
  <si>
    <t>current_portion_long_term_debt</t>
  </si>
  <si>
    <t>कुल चालु दायित्व कति छ?(Total current liabilities?)</t>
  </si>
  <si>
    <t>current_liabilities</t>
  </si>
  <si>
    <t>दीर्घकालीन ऋण कति छ?(Long-term loan?)</t>
  </si>
  <si>
    <t>long_term_loan</t>
  </si>
  <si>
    <t>अन्य दीर्घकालीन दायित्व कति छ?(Other long-term liabilities?)</t>
  </si>
  <si>
    <t>other_long_term_liabilities</t>
  </si>
  <si>
    <t>कुल दीर्घकालीन दायित्व कति छ?(Total long-term liabilities?)</t>
  </si>
  <si>
    <t>non_current_liabilities</t>
  </si>
  <si>
    <t>कुल दायित्व कति छ?(Total liabilities?)</t>
  </si>
  <si>
    <t>total_liabilities</t>
  </si>
  <si>
    <t>चुक्ता पूँजी (Paid Up Capital) कति छ?(Paid-up capital?)</t>
  </si>
  <si>
    <t>paid_up_capital</t>
  </si>
  <si>
    <t>सञ्चित नाफा (Retained Earnings) कति छ?(Retained earnings?)</t>
  </si>
  <si>
    <t>retained_earnings</t>
  </si>
  <si>
    <t>जगेडा/Reserve कोष कति छ?(Reserve fund?)</t>
  </si>
  <si>
    <t>reserves</t>
  </si>
  <si>
    <t>Total Networth (कुल नेट वर्थ)</t>
  </si>
  <si>
    <t>Total_networth</t>
  </si>
  <si>
    <t>जम्मा सङ्कलन गरिएको दूध (Total Gross Milk Collected) कति लिटर हो?(Total milk collected (liters)?)</t>
  </si>
  <si>
    <t>total_milk_collected_liters</t>
  </si>
  <si>
    <t>दूध नोक्सानी (Milk Loss) कति लिटर भयो?(Milk loss (liters)?)</t>
  </si>
  <si>
    <t>milk_loss_liters_during_collection</t>
  </si>
  <si>
    <t>प्रोसेस गर्दा हुने घाटा (Loss During Process) कति लिटर भयो?(Processing loss (liters)?)</t>
  </si>
  <si>
    <t>loss_during_process</t>
  </si>
  <si>
    <t>बिक्री भएको दूध (Total Milk Quantity) कति लिटर भयो?(Total milk sold (liters after process)?)</t>
  </si>
  <si>
    <t>produced_milk_model_b_liters</t>
  </si>
  <si>
    <t>औसत मासिक दूध सङ्कलन (Average Monthly Milk) कति लिटर हो?(Average monthly milk collection (liters)?)</t>
  </si>
  <si>
    <t>avg_monthly_milk_liters</t>
  </si>
  <si>
    <t>सबैभन्दा कम मासिक दूध (Lowest Monthly Milk) कति लिटर हो?(Lowest monthly milk (liters)?)</t>
  </si>
  <si>
    <t>lowest_monthly_milk_liters</t>
  </si>
  <si>
    <t>सबैभन्दा बढी मासिक दूध (Highest Monthly Milk) कति लिटर हो?(Highest monthly milk (liters)?)</t>
  </si>
  <si>
    <t>highest_monthly_milk_liters</t>
  </si>
  <si>
    <t>औसत स्टक (Inventory) कति मूल्यको छ?(Average inventory value?)</t>
  </si>
  <si>
    <t>average_inventory</t>
  </si>
  <si>
    <t>किसानलाई दिनु भएको क्रेडिट अवधि (Credit Period Given) कति दिनको हो?(Credit period given (days)?)</t>
  </si>
  <si>
    <t>credit_period_given_days</t>
  </si>
  <si>
    <t>शीर्ष ५ किसानबाट कति दूध सङ्कलन भयो?(Milk from top 5 farmers?)</t>
  </si>
  <si>
    <t>top5_farmer_collection_liters</t>
  </si>
  <si>
    <t>सबैभन्दा धेरै दूध दिने किसान कति लिटर दिएको?(Highest supplying farmer (liters)?)</t>
  </si>
  <si>
    <t>highest_farmer_quantity_liters</t>
  </si>
  <si>
    <t>सबैभन्दा कम दूध दिने किसान कति लिटर दिएको?(Lowest supplying farmer (liters)?)</t>
  </si>
  <si>
    <t>lowest_farmer_quantity_liters</t>
  </si>
  <si>
    <t>कुल किसान संख्या कति छ?(Total number of farmers?)</t>
  </si>
  <si>
    <t>total_number_of_farmers</t>
  </si>
  <si>
    <t>प्रति किसान औसत दूध कति लिटर छ?(Average milk per farmer?)</t>
  </si>
  <si>
    <t>avg_farmer_quantity_liters</t>
  </si>
  <si>
    <t>कति दिन दूध सङ्कलन भएको छ?(Total milk collection days in a year?)</t>
  </si>
  <si>
    <t>collection_days_positive</t>
  </si>
  <si>
    <t>सदस्यलाई दिइएको कुल ऋण (Total Member Loans) कति छ?(Total member loans?)</t>
  </si>
  <si>
    <t>total_member_loans</t>
  </si>
  <si>
    <t>खराब ऋण (NPA Member Loans) कति छ?(NPA member loans?)</t>
  </si>
  <si>
    <t>npa_member_loans</t>
  </si>
  <si>
    <t>म्याद नाघेको सदस्य ऋण (Overdue Member Loans) कति छ?(Overdue member loans?)</t>
  </si>
  <si>
    <t>overdue_member_loans</t>
  </si>
  <si>
    <t>पछिल्लो ३ वर्षमा पुनर्संरचना (Restructured Loans Past 3 yrs) कति भयो?(Restructured loans (last 3 yrs)?)</t>
  </si>
  <si>
    <t>restructured_loans_past3yrs</t>
  </si>
  <si>
    <t>Few Times</t>
  </si>
  <si>
    <t>सबैभन्दा बढी ढिला भएको दिन (Max DPD) कति हो?(Maximum DPD days by members)?)</t>
  </si>
  <si>
    <t>max_dpd_days</t>
  </si>
  <si>
    <t>सहकारीको क्रेडिट इतिहास कस्तो छ? (Credit History Members)</t>
  </si>
  <si>
    <t>credit_history_flag</t>
  </si>
  <si>
    <t>Timely</t>
  </si>
  <si>
    <t>गत वर्ष बैंक/नगद मौज्दात कति थियो?(Last year cash/bank balance?)</t>
  </si>
  <si>
    <t>cash_bank_balance_last_year</t>
  </si>
  <si>
    <t>अघिल्लो वर्ष बैंक/नगद मौज्दात कति थियो?(Previous year cash/bank balance?)</t>
  </si>
  <si>
    <t>cash_bank_balance_previous_year</t>
  </si>
  <si>
    <t>व्यवस्थापन टोली औसत अनुभव कति वर्ष छ?(Average management experience (years)?)</t>
  </si>
  <si>
    <t>key_mgmt_avg_experience_years</t>
  </si>
  <si>
    <t>आन्तरिक नियन्त्रण स्कोर कति छ?(Internal control score?)</t>
  </si>
  <si>
    <t>internal_control_score</t>
  </si>
  <si>
    <t>Robust</t>
  </si>
  <si>
    <t>अडिटमा भेटिएका कमजोरीको संख्या कति छ?(Number of audit observations?)</t>
  </si>
  <si>
    <t>audit_findings_count</t>
  </si>
  <si>
    <t>Few</t>
  </si>
  <si>
    <t>ऋण नीति पालन भएको छ कि छैन?(Loan policy compliance (Yes/No)?)</t>
  </si>
  <si>
    <t>lending_policy_compliance_flag</t>
  </si>
  <si>
    <t>Yes</t>
  </si>
  <si>
    <t>गाडी उपलब्धता प्रतिशत कति छ?(Vehicle availability (%)?)</t>
  </si>
  <si>
    <t>fleet_availability_percent</t>
  </si>
  <si>
    <t>गोदाम/चिस्यान सुविधा छ कि छैन?(Storage/cold facility available (Yes/No)?)</t>
  </si>
  <si>
    <t>storage_availability_flag</t>
  </si>
  <si>
    <t>Are there any standards for milk collection, handling, and storage? If yes, are the written documents for them available?के दूध सङ्कलन, व्यवस्थापन, र भण्डारणका लागि मापदण्डहरू छन्? यदि छन् भने, के तिनीहरूको लिखित दस्तावेज उपलब्ध छ?</t>
  </si>
  <si>
    <t>quality_sop_score_model_b</t>
  </si>
  <si>
    <t>Standards and documents exist. मापदण्ड र दस्तावेज छन्</t>
  </si>
  <si>
    <t>बीमा भएको छ कि छैन?(Insurance available (Yes/No)?)</t>
  </si>
  <si>
    <t>insurance_coverage_flag</t>
  </si>
  <si>
    <t>डिजिटल MIS / POS / QR प्रयोग भएको छ कि छैन?(Digital MIS/POS/QR used (Yes/No)?)</t>
  </si>
  <si>
    <t>digital_mis_flag</t>
  </si>
  <si>
    <t>नियामक पालना भएको छ कि छैन?(Regulatory compliance (Yes/No)?)</t>
  </si>
  <si>
    <t>regulatory_compliance_flag</t>
  </si>
  <si>
    <t>Partial</t>
  </si>
  <si>
    <t>मौसम जोखिम (Climatic Risk Score) कति छ?(Climatic risk score?)</t>
  </si>
  <si>
    <t>climatic_risk_score</t>
  </si>
  <si>
    <t>Low</t>
  </si>
  <si>
    <t>High</t>
  </si>
  <si>
    <t>Credit History BFIs (सहकारीको क्रेडिट इतिहास कस्तो छ?)</t>
  </si>
  <si>
    <t>credit_history_banks</t>
  </si>
  <si>
    <t>Pass</t>
  </si>
  <si>
    <t>सहकारीको सबैभन्दा बढी ढिला भएको दिन कति हो?(Maximum DPD days in bank loan)?)</t>
  </si>
  <si>
    <t>dpd_days_banks</t>
  </si>
  <si>
    <t>समितिको बैठक प्रायः कति नियमिततामा हुने गर्छ? (How often does the committee usually hold meetings?)</t>
  </si>
  <si>
    <t>Committee Meeting Frequency</t>
  </si>
  <si>
    <t>Weekly</t>
  </si>
  <si>
    <t>जब नयाँ योजना वा पैसा खर्च हुने कुरा आउँछ, सबै सदस्यलाई कुरा बुझाइन्छ कि भित्रै मात्र निर्णय हुन्छ? (When a new plan or spending comes up, are members informed or decided among a few?)</t>
  </si>
  <si>
    <t>Member Info Transparency</t>
  </si>
  <si>
    <t>Always</t>
  </si>
  <si>
    <t>पछिल्लो वर्ष सहकारीले सबैभन्दा बढी पैसा कुन काममा खर्च गर्यो दूध किन्न, प्रशोधनमा, सदस्यका लागि, वा अन्य काममा? Last year, where did the cooperative spend most of its money buying milk, on processing, for members, or on other things?</t>
  </si>
  <si>
    <t>Fund Usage</t>
  </si>
  <si>
    <t>Buying milk</t>
  </si>
  <si>
    <t>सदस्यहरूको सबै विवरण (नाम, ठेगाना, रकम) सही तरिकाले सुरक्षित राखिएको छ कि छैन ? (Are all member records kept securely, or is it sometimes difficult to find them?)</t>
  </si>
  <si>
    <t>KYC/AML</t>
  </si>
  <si>
    <t>Easily Found</t>
  </si>
  <si>
    <t>पछिल्लो वर्ष सहकारीको आम्दानी र खर्च कसैले जाँच गर्यो? Did anyone check the cooperative’s income and expenses last year?</t>
  </si>
  <si>
    <t>Income/Expense Checked</t>
  </si>
  <si>
    <t>Regularly</t>
  </si>
  <si>
    <t>कुनै पनि नयाँ योजना वा नियम लागू हुँदा, यसको बारेमा सदस्यलाई पहिले सूचित गरिन्छ कि गरिंदैन? When any new plan or rule is implemented, are members informed about it beforehand or not?</t>
  </si>
  <si>
    <t>Right to Information</t>
  </si>
  <si>
    <t>Always beforehand</t>
  </si>
  <si>
    <t>पछिल्लो साल सहकारीले गाउँमा के सहयोग गरेको थियो? (What did the cooperative help with in the village last year?)</t>
  </si>
  <si>
    <t>Community Support</t>
  </si>
  <si>
    <t>Frequently</t>
  </si>
  <si>
    <t>जब दूध कम हुन्छ वा आपत आउँछ, सहकारी प्रायः के गर्छ? (When milk is low or emergencies happen, what does the cooperative usually do?)</t>
  </si>
  <si>
    <t>Emergency Preparedness</t>
  </si>
  <si>
    <t>Proper Plan</t>
  </si>
  <si>
    <t>SN</t>
  </si>
  <si>
    <t>Input Type</t>
  </si>
  <si>
    <t>Coop Name,सहकारीको नाम</t>
  </si>
  <si>
    <t>Text</t>
  </si>
  <si>
    <t>Model Type,मोडलको प्रकार</t>
  </si>
  <si>
    <t>Dropdown</t>
  </si>
  <si>
    <t>New / Existing,नयाँ / पहिलेबाट सञ्चालनमा रहेको</t>
  </si>
  <si>
    <t>Existing Loan Amount (NPR),हाल चलिरहेको ऋण रकम (रु)</t>
  </si>
  <si>
    <t>Number</t>
  </si>
  <si>
    <t>Proposed Loan Amount (NPR),प्रस्तावित ऋण रकम (रु)</t>
  </si>
  <si>
    <t>Total Revenue (NPR),कुल आम्दानी (रु)</t>
  </si>
  <si>
    <t>EBITDA (NPR),संचालनबाट भएको आम्दानी (रु)</t>
  </si>
  <si>
    <t>Principal Repayment (NPR),मूलधन भुक्तानी रकम (रु)</t>
  </si>
  <si>
    <t>Interest (NPR),ब्याज रकम (रु)</t>
  </si>
  <si>
    <t>Total Assets (NPR),कुल सम्पत्ति (रु)</t>
  </si>
  <si>
    <t>Total Liabilities (NPR),कुल दायित्व (रु)</t>
  </si>
  <si>
    <t>Current Assets (NPR),चालु सम्पत्ति (रु)</t>
  </si>
  <si>
    <t>Current Liabilities (NPR),चालु दायित्व (रु)</t>
  </si>
  <si>
    <t>Total Debt (NPR),कुल ऋण (रु)</t>
  </si>
  <si>
    <t>Equity (NPR),पूँजी / इक्विटी (रु)</t>
  </si>
  <si>
    <t>Grant Income (NPR),अनुदानबाट प्राप्त आम्दानी (रु)</t>
  </si>
  <si>
    <t>Total Operating Expenses (NPR),कुल सञ्चालन खर्च (रु)</t>
  </si>
  <si>
    <t>Avg Inventory (NPR),औसत भण्डारण मूल्य (रु)</t>
  </si>
  <si>
    <t>COGS (NPR),लागत (रु)</t>
  </si>
  <si>
    <t>Accounts Receivable (NPR),प्राप्त रकम (रु)</t>
  </si>
  <si>
    <t>Avg Monthly Milk (Liters),मासिक औसत दूध सङ्कलन (लिटर)</t>
  </si>
  <si>
    <t>Lowest Monthly Milk (Liters),सबैभन्दा कम मासिक दूध सङ्कलन (लिटर)</t>
  </si>
  <si>
    <t>Total Milk Collected (Liters),कुल सङ्कलित दूध (लिटर)</t>
  </si>
  <si>
    <t>Milk Loss (Liters),बिग्रिएको / नोक्सानी भएको दूध (लिटर)</t>
  </si>
  <si>
    <t>Produced Milk (Liters) [Model B],उत्पादन गरिएको दूध (लिटर)</t>
  </si>
  <si>
    <t>Sold Products Value (NPR) [Model B],बिक्री भएका उत्पादनको मूल्य (रु)</t>
  </si>
  <si>
    <t>Lean Month Expenses,न्यूनतम महिना खर्च (रु)</t>
  </si>
  <si>
    <t>Total Member Loans (NPR),सदस्यहरूलाई दिएको कुल ऋण (रु)</t>
  </si>
  <si>
    <t>NPA Member Loans (NPR),खराब / एनपीए सदस्य ऋण (रु)</t>
  </si>
  <si>
    <t>Bank Sales (NPR),बैंकमार्फत भएको बिक्री (रु)</t>
  </si>
  <si>
    <t>Total Sales (NPR),कुल बिक्री (रु)</t>
  </si>
  <si>
    <t>Key Mgmt Experience (Avg Years),प्रमुख व्यवस्थापनको औसत अनुभव (वर्ष)</t>
  </si>
  <si>
    <t>Internal Controls Score,आन्तरिक नियन्त्रण स्कोर</t>
  </si>
  <si>
    <t>Audit Findings (#),अडिटमा देखिएका कैफियत संख्या</t>
  </si>
  <si>
    <t>Lending Policy Compliance,ऋण नीतिको पालना</t>
  </si>
  <si>
    <t>Collection Average,दूध सङ्कलनका औसत दिनहरू</t>
  </si>
  <si>
    <t>Fleet Availability,सङ्कलन सवारी साधन उपलब्धता</t>
  </si>
  <si>
    <t>Storage / Cold Chain Availability,भण्डारण / चिसो श्रृंखला उपलब्धता</t>
  </si>
  <si>
    <t>Cash/Bank Balance Last Year,पछिल्लो १ वर्ष औसत नगद/बैंक मौज्दात (रु)</t>
  </si>
  <si>
    <t>Cash/Bank Balance Previous Year,अघिल्लो १ वर्ष औसत नगद/बैंक मौज्दात (रु)</t>
  </si>
  <si>
    <t>Credit History Of Members,ऋण इतिहास</t>
  </si>
  <si>
    <t>Max DPD (Days),सबैभन्दा धेरै ढिला भएको दिन (दिन)</t>
  </si>
  <si>
    <t>Restructures (Past 3 yrs),पछिल्ला ३ वर्षमा ऋण पुनःसंरचना संख्या</t>
  </si>
  <si>
    <t>Top 5 Farmer Collection,शीर्ष ५ किसानबाट आएको दूध मात्रा</t>
  </si>
  <si>
    <t>Total Farmer Collection,सबै किसानबाट आएको कुल दूध</t>
  </si>
  <si>
    <t>Highest total milk quantity sold by a single farmer,एक जना किसानले बेचेको सबैभन्दा धेरै दूध मात्रा</t>
  </si>
  <si>
    <t>Lowest total milk quantity sold by a single farmer,एक जना किसानले बेचेको सबैभन्दा कम दूध मात्रा</t>
  </si>
  <si>
    <t>Average milk quantity sold per farmer,प्रति किसान औसत दूध बिक्री मात्रा</t>
  </si>
  <si>
    <t>Formula</t>
  </si>
  <si>
    <t>Total no of Farmers,कुल किसान संख्या</t>
  </si>
  <si>
    <t>No of days with milk collection &gt; 0,दूध सङ्कलन भएको दिनको संख्या</t>
  </si>
  <si>
    <t>Total Quantity of milk,कुल दूध मात्रा</t>
  </si>
  <si>
    <t>Insurance Coverage,बीमा भएको छ</t>
  </si>
  <si>
    <t>Digital MIS / POS / QR Adoption,डिजिटल रजिष्टर / POS / QR</t>
  </si>
  <si>
    <t>Regulatory Compliance,दर्ता, कर, NRB रिपोर्टिङ</t>
  </si>
  <si>
    <t>Climatic / Input Risk,जलवायु / इनपुट जोखिम</t>
  </si>
  <si>
    <t>Credit History (BFIS),ऋण इतिहास</t>
  </si>
  <si>
    <t>Max DPD (BFI),सबैभन्दा धेरै ढिला भएको दिन (दिन)</t>
  </si>
  <si>
    <t>Total Number of Buyers,कुल खरिदकर्ता संख्या</t>
  </si>
  <si>
    <t>Top 5 Buyers Sales (NPR),शीर्ष ३ खरिदकर्ताबाट भएको बिक्री (रु)</t>
  </si>
  <si>
    <t>Single Largest Buyer Sales (NPR),सबैभन्दा ठूलो खरिदकर्ताबाट बिक्री (रु)</t>
  </si>
  <si>
    <t>Government/Public Sector Buyers,सरकारी/सार्वजनिक क्षेत्रका खरिदकर्ता</t>
  </si>
  <si>
    <t>Large Private Dairy Buyers,ठूला निजी दुग्ध उद्योग खरिदकर्ता</t>
  </si>
  <si>
    <t>Small/Uncertain Buyers,साना/अनिश्चित खरिदकर्ता</t>
  </si>
  <si>
    <t>Average Payment Days from Buyers,खरिदकर्ताबाट औसत भुक्तानी दिन</t>
  </si>
  <si>
    <t>Contract Coverage with Buyers ,खरिदकर्तासँग सम्झौता कभरेज (%)</t>
  </si>
  <si>
    <t>Committee Meeting Frequency,समितिको बैठक नियमितता,</t>
  </si>
  <si>
    <t>Member Info Transparency,सदस्य विवरण सजिलै भेटिन्छ वा छैन,</t>
  </si>
  <si>
    <t>Fund Usage,बढी पैसा कहाँ खर्च भयो?,</t>
  </si>
  <si>
    <t>Member Records Lost?,पैसा वा हिसाब किताब हराएको छ?,</t>
  </si>
  <si>
    <t>Income/Expense Checked,पछिल्लो वर्ष जाँच भएको छ?,</t>
  </si>
  <si>
    <t>New Rule Notification,नयाँ नियम/योजना अघि जानकारी दिइन्छ?,</t>
  </si>
  <si>
    <t>Community Support,गाउँमा सहयोग के गरियो?,</t>
  </si>
  <si>
    <t>Emergency Preparedness,दूध कम / आपतमा के गर्छ?,</t>
  </si>
  <si>
    <t>Sub-Indicators</t>
  </si>
  <si>
    <t>Score</t>
  </si>
  <si>
    <t>DSCR</t>
  </si>
  <si>
    <t>Seasonality Coverage</t>
  </si>
  <si>
    <t>Inventory Days</t>
  </si>
  <si>
    <t>Receivable Days</t>
  </si>
  <si>
    <t>Milk Stability %</t>
  </si>
  <si>
    <t>Days Stability %</t>
  </si>
  <si>
    <t>Milk Loss %</t>
  </si>
  <si>
    <t>Yield Loss %</t>
  </si>
  <si>
    <t>Farmer Concentration %</t>
  </si>
  <si>
    <t>Collection Stability %</t>
  </si>
  <si>
    <t>Payment Fairness %</t>
  </si>
  <si>
    <t>Logistics Reliability</t>
  </si>
  <si>
    <t>Net Worth</t>
  </si>
  <si>
    <t>Debt/Equity</t>
  </si>
  <si>
    <t>Current Ratio</t>
  </si>
  <si>
    <t>Grant %</t>
  </si>
  <si>
    <t>Cash / Bank Balance Trend</t>
  </si>
  <si>
    <t>Member GNPA %</t>
  </si>
  <si>
    <t>Max DPD</t>
  </si>
  <si>
    <t>Restructuring</t>
  </si>
  <si>
    <t>Mgmt Experience</t>
  </si>
  <si>
    <t>Internal Controls</t>
  </si>
  <si>
    <t>Audit Findings</t>
  </si>
  <si>
    <t>Lending Policy Compliance</t>
  </si>
  <si>
    <t>Quality SOP</t>
  </si>
  <si>
    <t>% Sales via Bank</t>
  </si>
  <si>
    <t>Insurance Coverage</t>
  </si>
  <si>
    <t>Digital MIS / POS / QR Adoption</t>
  </si>
  <si>
    <t>Regulatory Compliance</t>
  </si>
  <si>
    <t>Climatic / Input Risk</t>
  </si>
  <si>
    <t>Credit History</t>
  </si>
  <si>
    <t>Max Delays</t>
  </si>
  <si>
    <t>Top 5 concentration(%)</t>
  </si>
  <si>
    <t>Largest buyer concentration (%)</t>
  </si>
  <si>
    <t>Stable buyer share (%)</t>
  </si>
  <si>
    <t>Contract score</t>
  </si>
  <si>
    <t>Payment score</t>
  </si>
  <si>
    <t>Fund Utilization Transparency</t>
  </si>
  <si>
    <t>Member Identification &amp; KYC Compliance</t>
  </si>
  <si>
    <t>Financial Oversight &amp; Verification Practice</t>
  </si>
  <si>
    <t>Governance Communication Effectiveness</t>
  </si>
  <si>
    <t>Stakeholder Engagement &amp; Social Responsibility</t>
  </si>
  <si>
    <t>Operational Contingency Preparedness</t>
  </si>
  <si>
    <t>Parameter</t>
  </si>
  <si>
    <t>Parameter Weight (Points)</t>
  </si>
  <si>
    <t>Weight for sub-parameters</t>
  </si>
  <si>
    <t>Sub-Parameter</t>
  </si>
  <si>
    <t>Sub Weight (Points)</t>
  </si>
  <si>
    <t>Data(value)</t>
  </si>
  <si>
    <t>Cash Flow &amp; Loan Repayment</t>
  </si>
  <si>
    <t>Milk Supply &amp; Operational Stability</t>
  </si>
  <si>
    <t xml:space="preserve"> </t>
  </si>
  <si>
    <t>Financial Strength &amp; Liquidity</t>
  </si>
  <si>
    <t>Debt / Equity</t>
  </si>
  <si>
    <t>Grant % of Revenue</t>
  </si>
  <si>
    <t>Financial Transparency &amp; Cash Discipline</t>
  </si>
  <si>
    <t>Loan Recovery &amp; Member Credit Risk</t>
  </si>
  <si>
    <t>Management &amp; Governance Quality</t>
  </si>
  <si>
    <t>Management Experience</t>
  </si>
  <si>
    <t>Operational Quality</t>
  </si>
  <si>
    <t>Quality SOP Compliance</t>
  </si>
  <si>
    <t>External &amp; Regulatory Risk</t>
  </si>
  <si>
    <t>Climatic Risk</t>
  </si>
  <si>
    <t>Credit History / Banking Behaviour</t>
  </si>
  <si>
    <t>Buyer Concentration &amp; Market Risk</t>
  </si>
  <si>
    <t>Top 5 Buyer Concentration %</t>
  </si>
  <si>
    <t>Largest Buyer Concentration %</t>
  </si>
  <si>
    <t>Stable Buyer Share %</t>
  </si>
  <si>
    <t>Contract Coverage %</t>
  </si>
  <si>
    <t>Payment Score</t>
  </si>
  <si>
    <t>Behavioural &amp; Due Diligence Risk</t>
  </si>
  <si>
    <t>bifurcation</t>
  </si>
  <si>
    <t>option</t>
  </si>
  <si>
    <t>Milk Collection Only / केवल दूध सङ्कलन</t>
  </si>
  <si>
    <t>Processing / प्रशोधन</t>
  </si>
  <si>
    <t>New / नयाँ</t>
  </si>
  <si>
    <t>Existing / पहिलेबाट रहेको</t>
  </si>
  <si>
    <t>Monthly / मासिक</t>
  </si>
  <si>
    <t>Quarterly / त्रैमासिक</t>
  </si>
  <si>
    <t>Anually / वार्षिक</t>
  </si>
  <si>
    <t>Never / कहिल्यै होइन</t>
  </si>
  <si>
    <t>Few Times / केही पटक</t>
  </si>
  <si>
    <t>Frequent / बारम्बार</t>
  </si>
  <si>
    <t>Timley / समयमा</t>
  </si>
  <si>
    <t>With few delays</t>
  </si>
  <si>
    <t>Frequent delays / बारम्बार ढिलाइ</t>
  </si>
  <si>
    <t>Robust / बलियो</t>
  </si>
  <si>
    <t>Adequate / पर्याप्त</t>
  </si>
  <si>
    <t>Weak / कमजोर</t>
  </si>
  <si>
    <t>Qualified / योग्य</t>
  </si>
  <si>
    <t>Few / थोरै</t>
  </si>
  <si>
    <t>None / कुनै पनि छैन</t>
  </si>
  <si>
    <t>Yes / हो</t>
  </si>
  <si>
    <t>No / होइन</t>
  </si>
  <si>
    <t>Standards and documents exist. / मापदण्ड र दस्तावेज छन्</t>
  </si>
  <si>
    <t>Standards exist, no documents / मापदण्ड छन्, दस्तावेज छैन</t>
  </si>
  <si>
    <t>No standards (मापदण्ड छैन) score value remains same</t>
  </si>
  <si>
    <t>Full / पूर्ण</t>
  </si>
  <si>
    <t>Partial / आंशिक</t>
  </si>
  <si>
    <t>Low / कम</t>
  </si>
  <si>
    <t>Medium / मध्यम</t>
  </si>
  <si>
    <t>High / उच्च</t>
  </si>
  <si>
    <t>Pass / उत्तीर्ण</t>
  </si>
  <si>
    <t>Watch List / निगरानी सूची</t>
  </si>
  <si>
    <t>Substandard / मापदण्डभन्दा कमजोर</t>
  </si>
  <si>
    <t>Doubtful / शंकास्पद</t>
  </si>
  <si>
    <t>Loss / घाटा</t>
  </si>
  <si>
    <t>Weekly / साप्ताहिक</t>
  </si>
  <si>
    <t>Annually / वार्षिक</t>
  </si>
  <si>
    <t>Decided among few / सीमित व्यक्तिहरूले निर्णय गर्ने</t>
  </si>
  <si>
    <t>Sometimes / कहिलेकाहीँ</t>
  </si>
  <si>
    <t>Mostly / प्रायः</t>
  </si>
  <si>
    <t>Always / सधैं</t>
  </si>
  <si>
    <t>Buying Milk / दूध खरिद</t>
  </si>
  <si>
    <t>Members / सदस्यहरू</t>
  </si>
  <si>
    <t>Other things / अन्य कार्यहरू</t>
  </si>
  <si>
    <t>Hard / गाह्रो</t>
  </si>
  <si>
    <t>Easily Found / सजिलै उपलब्ध</t>
  </si>
  <si>
    <t>Once / एक पटक</t>
  </si>
  <si>
    <t>Occasionally / बेलाबेला</t>
  </si>
  <si>
    <t>Regularly / नियमित रूपमा</t>
  </si>
  <si>
    <t>Only after implementation / कार्यान्वयन पछि मात्र</t>
  </si>
  <si>
    <t>Sometimes beforehand / कहिलेकाहीँ पहिले</t>
  </si>
  <si>
    <t>Mostly Beforehand / प्रायः पहिले</t>
  </si>
  <si>
    <t>Always Beforehand / सधैं पहिले</t>
  </si>
  <si>
    <t>Frequently / बारम्बार</t>
  </si>
  <si>
    <t>Nothing / केही पनि होइन</t>
  </si>
  <si>
    <t>Little Preparation / थोरै तयारी</t>
  </si>
  <si>
    <t>Normal / सामान्य</t>
  </si>
  <si>
    <t>Proper Plan / उचित योजना</t>
  </si>
  <si>
    <t>Submission Timestamp</t>
  </si>
  <si>
    <t>Server Timestamp</t>
  </si>
  <si>
    <t>Total Score</t>
  </si>
  <si>
    <t>Risk Tier</t>
  </si>
  <si>
    <t>Coop Name</t>
  </si>
  <si>
    <t>Answers JSON</t>
  </si>
  <si>
    <t>Submission ID</t>
  </si>
  <si>
    <t>Approver Status</t>
  </si>
  <si>
    <t>Approver Notes</t>
  </si>
  <si>
    <t>Approver Decided At</t>
  </si>
  <si>
    <t>2026-03-18T03:50:18.310Z</t>
  </si>
  <si>
    <t>D Risk</t>
  </si>
  <si>
    <t>Failing Test Cooperative (Test)</t>
  </si>
  <si>
    <t>{"model_type":"","loan_type":"","coop_name":"Failing Test Cooperative (Test)","years_operation":1,"office_location":"Remote District","total_loan":"9000000","existing_loan":3000000,"proposed_loan":6000000,"interest_rate":16,"loan_tenure":36,"installment_freq":"Annual","primary_land_value":2000000,"total_sales":"8100000","total_revenue":"13100000","milk_sales":8000000,"other_product_sales":0,"other_income":100000,"grant_income":5000000,"bank_sales":2000000,"top5_buyer_pct":"80.25","largest_buyer_pct":"49.38","total_buyers":50,"top5_buyers_sales":6500000,"largest_buyer_sales":4000000,"gov_buyer_sales":500000,"no_govt_buyers":1,"large_private_buyer_sales":3000000,"no_private_sector_buyer":2,"small_buyer_sales":2000000,"no_small_buyer_sales":20,"avg_collection_days":90,"contract_coverage":0,"total_opex":"9110000","raw_milk_cost":7000000,"processing_cost":0,"packaging_cost":0,"transport_cost":300000,"other_processing_cost":0,"salary_expense":900000,"admin_expense":300000,"electricity_expense":150000,"fuel_expense":120000,"repair_expense":80000,"rent_expense":60000,"other_opex":200000,"lowest_monthly_expense":700000,"annual_depreciation":200000,"amortization_amount":0,"total_cash":"400000","total_current_assets":"3100000","total_fixed_assets":"3230000","total_assets":"6330000","cash_hand":50000,"bank_balance":350000,"accounts_receivable":2500000,"inventory_value":150000,"prepaid_expenses":0,"other_current_assets":50000,"land_value":1800000,"building_value":600000,"machinery_value":400000,"vehicle_value":300000,"furniture_value":80000,"other_fixed_assets":50000,"total_current_liabilities":"6300000","total_long_term_liabilities":"5800000","total_liabilities":"12100000","accounts_payable":1500000,"short_term_loan":3000000,"accrued_expenses":600000,"current_ltd":1200000,"long_term_loan":4800000,"other_ltl":1000000,"total_net_worth":"400000","paid_up_capital":500000,"retained_earnings":-200000,"reserve_fund":100000,"total_milk_sold":"630000","avg_milk_per_farmer":"7777.78","total_milk_collected":700000,"milk_loss":70000,"processing_loss":0,"avg_monthly_milk":58000,"lowest_monthly_milk":20000,"highest_monthly_milk":90000,"avg_inventory_value":100000,"credit_period_given_days":45,"top5_farmers_milk":420000,"highest_farmer_qty":30000,"lowest_farmer_qty":200,"total_farmers":90,"collection_days":260,"total_member_loans":2000000,"npa_member_loans":600000,"overdue_member_loans":800000,"restructured_loans_3yr":"Frequently","max_dpd_members":120,"credit_history_flag":"Frequent delays","cash_last_year":400000,"cash_prev_year":700000,"audit_observations":10,"mgmt_experience":1,"internal_control_score":"20","loan_policy_compliance":"No","vehicle_avail_pct":"No","storage_cold_facility":"No","quality_sop_score":"15","insurance_available":"No","digital_mis_pos":"No","regulatory_compliance":"No","climatic_risk_score":"8","credit_history_bfi":"Substandard","max_dpd_bfi":45,"meeting_frequency":"Rarely","member_info_transparency":"Decided among few","fund_usage":"Other things","kyc_aml":"Hard","income_expense_checked":"Never","right_to_information":"Only after implementation","community_support_level":"Minimal","emergency_response":"No Plan","customer_type":"new"}</t>
  </si>
  <si>
    <t>SUB-DA4645BB-B2D</t>
  </si>
  <si>
    <t>pending</t>
  </si>
  <si>
    <t>2026-03-18T03:54:07.098Z</t>
  </si>
  <si>
    <t>A Risk</t>
  </si>
  <si>
    <t>Himalayan Dairy Cooperative (Test)</t>
  </si>
  <si>
    <t>{"model_type":"","loan_type":"","coop_name":"Himalayan Dairy Cooperative (Test)","years_operation":15,"office_location":"Lalitpur, Bagmati","total_loan":"3000000","existing_loan":0,"proposed_loan":3000000,"interest_rate":9,"loan_tenure":60,"installment_freq":"Monthly","primary_land_value":9000000,"total_sales":"45500000","total_revenue":"45700000","milk_sales":42000000,"other_product_sales":3000000,"other_income":500000,"grant_income":200000,"bank_sales":38000000,"top5_buyer_pct":"21.98","largest_buyer_pct":"5.49","total_buyers":500,"top5_buyers_sales":10000000,"largest_buyer_sales":2500000,"gov_buyer_sales":8000000,"no_govt_buyers":3,"large_private_buyer_sales":20000000,"no_private_sector_buyer":5,"small_buyer_sales":500000,"no_small_buyer_sales":10,"avg_collection_days":20,"contract_coverage":8,"total_opex":"32050000","raw_milk_cost":28000000,"processing_cost":0,"packaging_cost":0,"transport_cost":600000,"other_processing_cost":0,"salary_expense":2000000,"admin_expense":500000,"electricity_expense":300000,"fuel_expense":200000,"repair_expense":150000,"rent_expense":100000,"other_opex":200000,"lowest_monthly_expense":250000,"annual_depreciation":800000,"amortization_amount":100000,"total_cash":"5500000","total_current_assets":"7200000","total_fixed_assets":"15500000","total_assets":"22700000","cash_hand":500000,"bank_balance":5000000,"accounts_receivable":800000,"inventory_value":600000,"prepaid_expenses":100000,"other_current_assets":200000,"land_value":8000000,"building_value":3000000,"machinery_value":2500000,"vehicle_value":1500000,"furniture_value":300000,"other_fixed_assets":200000,"total_current_liabilities":"1000000","total_long_term_liabilities":"2400000","total_liabilities":"3400000","accounts_payable":300000,"short_term_loan":0,"accrued_expenses":100000,"current_ltd":600000,"long_term_loan":2400000,"other_ltl":0,"total_net_worth":"11000000","paid_up_capital":5000000,"retained_earnings":4000000,"reserve_fund":2000000,"total_milk_sold":"4158000","avg_milk_per_farmer":"6000","total_milk_collected":4200000,"milk_loss":42000,"processing_loss":0,"avg_monthly_milk":350000,"lowest_monthly_milk":310000,"highest_monthly_milk":420000,"avg_inventory_value":400000,"credit_period_given_days":7,"top5_farmers_milk":500000,"highest_farmer_qty":90000,"lowest_farmer_qty":1000,"total_farmers":700,"collection_days":355,"total_member_loans":8000000,"npa_member_loans":80000,"overdue_member_loans":120000,"restructured_loans_3yr":"None","max_dpd_members":10,"credit_history_flag":"Timely","cash_last_year":5500000,"cash_prev_year":4200000,"audit_observations":0,"mgmt_experience":12,"internal_control_score":"85","loan_policy_compliance":"Yes","vehicle_avail_pct":"Yes","storage_cold_facility":"Yes","quality_sop_score":"85","insurance_available":"Yes","digital_mis_pos":"Yes","regulatory_compliance":"Yes","climatic_risk_score":"2","credit_history_bfi":"Pass","max_dpd_bfi":0,"meeting_frequency":"Weekly","member_info_transparency":"Always","fund_usage":"Buying Milk","kyc_aml":"Easily Found","income_expense_checked":"Regularly","right_to_information":"Always Beforehand","community_support_level":"Significant","emergency_response":"Proper Plan","customer_type":"existing"}</t>
  </si>
  <si>
    <t>SUB-D5192A51-F19</t>
  </si>
  <si>
    <t>2026-03-18T04:20:13.799Z</t>
  </si>
  <si>
    <t>{"model_type":"","loan_type":"","coop_name":"Himalayan Dairy Cooperative (Test)","years_operation":15,"office_location":"Lalitpur, Bagmati","total_loan":"3000000","existing_loan":0,"proposed_loan":3000000,"interest_rate":9,"loan_tenure":60,"installment_freq":"Monthly","primary_land_value":9000000,"total_sales":"45500000","total_revenue":"45700000","milk_sales":42000000,"other_product_sales":3000000,"other_income":500000,"grant_income":200000,"bank_sales":38000000,"top5_buyer_pct":"21.98","largest_buyer_pct":"5.49","total_buyers":500,"top5_buyers_sales":10000000,"largest_buyer_sales":2500000,"gov_buyer_sales":8000000,"no_govt_buyers":3,"large_private_buyer_sales":20000000,"no_private_sector_buyer":5,"small_buyer_sales":500000,"no_small_buyer_sales":10,"avg_collection_days":20,"contract_coverage":8,"total_opex":"32050000","raw_milk_cost":28000000,"processing_cost":0,"packaging_cost":0,"transport_cost":600000,"other_processing_cost":0,"salary_expense":2000000,"admin_expense":500000,"electricity_expense":300000,"fuel_expense":200000,"repair_expense":150000,"rent_expense":100000,"other_opex":200000,"lowest_monthly_expense":250000,"annual_depreciation":800000,"amortization_amount":100000,"total_cash":"5500000","total_current_assets":"7200000","total_fixed_assets":"15500000","total_assets":"22700000","cash_hand":500000,"bank_balance":5000000,"accounts_receivable":800000,"inventory_value":600000,"prepaid_expenses":100000,"other_current_assets":200000,"land_value":8000000,"building_value":3000000,"machinery_value":2500000,"vehicle_value":1500000,"furniture_value":300000,"other_fixed_assets":200000,"total_current_liabilities":"1000000","total_long_term_liabilities":"2400000","total_liabilities":"3400000","accounts_payable":300000,"short_term_loan":0,"accrued_expenses":100000,"current_ltd":600000,"long_term_loan":2400000,"other_ltl":0,"total_net_worth":"11000000","paid_up_capital":5000000,"retained_earnings":4000000,"reserve_fund":2000000,"total_milk_sold":"4158000","avg_milk_per_farmer":"6000","total_milk_collected":4200000,"milk_loss":42000,"processing_loss":0,"avg_monthly_milk":350000,"lowest_monthly_milk":310000,"highest_monthly_milk":420000,"avg_inventory_value":400000,"credit_period_given_days":7,"top5_farmers_milk":500000,"highest_farmer_qty":90000,"lowest_farmer_qty":1000,"total_farmers":700,"collection_days":355,"total_member_loans":8000000,"npa_member_loans":80000,"overdue_member_loans":120000,"restructured_loans_3yr":"None","max_dpd_members":10,"credit_history_flag":"Timely","cash_last_year":5500000,"cash_prev_year":4200000,"audit_observations":0,"mgmt_experience":12,"internal_control_score":"85","loan_policy_compliance":"Yes","vehicle_avail_pct":"Yes","storage_cold_facility":"Yes","quality_sop_score":"85","insurance_available":"Yes","digital_mis_pos":"Yes","regulatory_compliance":"Yes","climatic_risk_score":"2","credit_history_bfi":"Pass","max_dpd_bfi":0,"meeting_frequency":"Weekly","member_info_transparency":"Always","fund_usage":"Buying Milk","kyc_aml":"Easily Found","income_expense_checked":"Regularly","right_to_information":"Always Beforehand","community_support_level":"Significant","emergency_response":"Proper Plan","customer_type":"new"}</t>
  </si>
  <si>
    <t>SUB-5C8A7791-7B4</t>
  </si>
  <si>
    <t>2026-03-18T04:35:25.015Z</t>
  </si>
  <si>
    <t>C Risk</t>
  </si>
  <si>
    <t>Koshi Valley Cooperative (Test)</t>
  </si>
  <si>
    <t>{"model_type":"","loan_type":"","coop_name":"Koshi Valley Cooperative (Test)","years_operation":4,"office_location":"Morang, Koshi","total_loan":"6500000","existing_loan":1500000,"proposed_loan":5000000,"interest_rate":12,"loan_tenure":48,"installment_freq":"Quarterly","primary_land_value":5000000,"total_sales":"18700000","total_revenue":"21200000","milk_sales":18000000,"other_product_sales":500000,"other_income":200000,"grant_income":2500000,"bank_sales":9000000,"top5_buyer_pct":"53.48","largest_buyer_pct":"26.74","total_buyers":150,"top5_buyers_sales":10000000,"largest_buyer_sales":5000000,"gov_buyer_sales":2000000,"no_govt_buyers":1,"large_private_buyer_sales":8000000,"no_private_sector_buyer":3,"small_buyer_sales":1000000,"no_small_buyer_sales":15,"avg_collection_days":55,"contract_coverage":2,"total_opex":"15730000","raw_milk_cost":13000000,"processing_cost":0,"packaging_cost":0,"transport_cost":400000,"other_processing_cost":0,"salary_expense":1200000,"admin_expense":350000,"electricity_expense":200000,"fuel_expense":150000,"repair_expense":100000,"rent_expense":80000,"other_opex":250000,"lowest_monthly_expense":400000,"annual_depreciation":400000,"amortization_amount":30000,"total_cash":"1500000","total_current_assets":"3450000","total_fixed_assets":"6850000","total_assets":"10300000","cash_hand":200000,"bank_balance":1300000,"accounts_receivable":1500000,"inventory_value":300000,"prepaid_expenses":50000,"other_current_assets":100000,"land_value":4000000,"building_value":1200000,"machinery_value":800000,"vehicle_value":600000,"furniture_value":150000,"other_fixed_assets":100000,"total_current_liabilities":"3600000","total_long_term_liabilities":"4500000","total_liabilities":"8100000","accounts_payable":800000,"short_term_loan":1500000,"accrued_expenses":300000,"current_ltd":1000000,"long_term_loan":4000000,"other_ltl":500000,"total_net_worth":"2300000","paid_up_capital":1500000,"retained_earnings":500000,"reserve_fund":300000,"total_milk_sold":"1520000","avg_milk_per_farmer":"5714.29","total_milk_collected":1600000,"milk_loss":80000,"processing_loss":0,"avg_monthly_milk":133000,"lowest_monthly_milk":80000,"highest_monthly_milk":180000,"avg_inventory_value":200000,"credit_period_given_days":21,"top5_farmers_milk":640000,"highest_farmer_qty":50000,"lowest_farmer_qty":500,"total_farmers":280,"collection_days":310,"total_member_loans":3500000,"npa_member_loans":280000,"overdue_member_loans":400000,"restructured_loans_3yr":"Few Times","max_dpd_members":65,"credit_history_flag":"With few delays","cash_last_year":1500000,"cash_prev_year":1800000,"audit_observations":5,"mgmt_experience":4,"internal_control_score":"20","loan_policy_compliance":"No","vehicle_avail_pct":"Yes","storage_cold_facility":"No","quality_sop_score":"65","insurance_available":"No","digital_mis_pos":"Partial","regulatory_compliance":"Partial","climatic_risk_score":"5","credit_history_bfi":"Watch List","max_dpd_bfi":10,"meeting_frequency":"Monthly","member_info_transparency":"Sometimes","fund_usage":"Buying Milk","kyc_aml":"Sometimes","income_expense_checked":"Occasionally","right_to_information":"Sometimes beforehand","community_support_level":"Moderate","emergency_response":"Ad-hoc","customer_type":"new"}</t>
  </si>
  <si>
    <t>SUB-5B5DFB97-694</t>
  </si>
  <si>
    <t>rejected</t>
  </si>
  <si>
    <t>tesT</t>
  </si>
  <si>
    <t>2026-03-18T05:05:35.778Z</t>
  </si>
  <si>
    <t>2026-03-18T04:37:19.814Z</t>
  </si>
  <si>
    <t>B Risk</t>
  </si>
  <si>
    <t>Terai Milk Cooperative (Test)</t>
  </si>
  <si>
    <t>{"model_type":"","loan_type":"","coop_name":"Terai Milk Cooperative (Test)","years_operation":8,"office_location":"Chitwan, Bagmati","total_loan":"4500000","existing_loan":500000,"proposed_loan":4000000,"interest_rate":10,"loan_tenure":60,"installment_freq":"Monthly","primary_land_value":7000000,"total_sales":"31800000","total_revenue":"32600000","milk_sales":30000000,"other_product_sales":1500000,"other_income":300000,"grant_income":800000,"bank_sales":22000000,"top5_buyer_pct":"37.74","largest_buyer_pct":"12.58","total_buyers":300,"top5_buyers_sales":12000000,"largest_buyer_sales":4000000,"gov_buyer_sales":5000000,"no_govt_buyers":2,"large_private_buyer_sales":15000000,"no_private_sector_buyer":4,"small_buyer_sales":800000,"no_small_buyer_sales":8,"avg_collection_days":35,"contract_coverage":5,"total_opex":"23350000","raw_milk_cost":20000000,"processing_cost":0,"packaging_cost":0,"transport_cost":500000,"other_processing_cost":0,"salary_expense":1500000,"admin_expense":400000,"electricity_expense":250000,"fuel_expense":180000,"repair_expense":120000,"rent_expense":100000,"other_opex":300000,"lowest_monthly_expense":300000,"annual_depreciation":600000,"amortization_amount":50000,"total_cash":"3200000","total_current_assets":"4830000","total_fixed_assets":"11050000","total_assets":"15880000","cash_hand":300000,"bank_balance":2900000,"accounts_receivable":1000000,"inventory_value":400000,"prepaid_expenses":80000,"other_current_assets":150000,"land_value":6000000,"building_value":2000000,"machinery_value":1500000,"vehicle_value":1200000,"furniture_value":200000,"other_fixed_assets":150000,"total_current_liabilities":"1950000","total_long_term_liabilities":"3200000","total_liabilities":"5150000","accounts_payable":500000,"short_term_loan":500000,"accrued_expenses":150000,"current_ltd":800000,"long_term_loan":3200000,"other_ltl":0,"total_net_worth":"6000000","paid_up_capital":3000000,"retained_earnings":2000000,"reserve_fund":1000000,"total_milk_sold":"2730000","avg_milk_per_farmer":"6222.22","total_milk_collected":2800000,"milk_loss":70000,"processing_loss":0,"avg_monthly_milk":233000,"lowest_monthly_milk":180000,"highest_monthly_milk":290000,"avg_inventory_value":300000,"credit_period_given_days":10,"top5_farmers_milk":560000,"highest_farmer_qty":70000,"lowest_farmer_qty":800,"total_farmers":450,"collection_days":340,"total_member_loans":5000000,"npa_member_loans":150000,"overdue_member_loans":200000,"restructured_loans_3yr":"Few Times","max_dpd_members":35,"credit_history_flag":"With few delays","cash_last_year":3200000,"cash_prev_year":2800000,"audit_observations":2,"mgmt_experience":7,"internal_control_score":"65","loan_policy_compliance":"Yes","vehicle_avail_pct":"Yes","storage_cold_facility":"Yes","quality_sop_score":"65","insurance_available":"Yes","digital_mis_pos":"Partial","regulatory_compliance":"Partial","climatic_risk_score":"5","credit_history_bfi":"Pass","max_dpd_bfi":0,"meeting_frequency":"Monthly","member_info_transparency":"Mostly","fund_usage":"Buying Milk","kyc_aml":"Mostly","income_expense_checked":"Regularly","right_to_information":"Mostly Beforehand","community_support_level":"Moderate","emergency_response":"Ad-hoc","customer_type":"new"}</t>
  </si>
  <si>
    <t>SUB-1482A024-26D</t>
  </si>
  <si>
    <t>conditional</t>
  </si>
  <si>
    <t>test</t>
  </si>
  <si>
    <t>2026-03-18T05:05:13.624Z</t>
  </si>
  <si>
    <t>2026-03-18T05:08:06.634Z</t>
  </si>
  <si>
    <t>SUB-3ED24871-3F0</t>
  </si>
  <si>
    <t>2026-03-18T05:23:51.302Z</t>
  </si>
  <si>
    <t>SUB-5BDCEB7B-D20</t>
  </si>
  <si>
    <t>2026-03-18T05:39:41.105Z</t>
  </si>
  <si>
    <t>Manual testing</t>
  </si>
  <si>
    <t>{"model_type":"","loan_type":"","coop_name":"Manual testing","years_operation":5,"office_location":"Chitwan, Bagmati","total_loan":"148530482","existing_loan":148484848,"proposed_loan":45634,"interest_rate":45,"loan_tenure":53,"installment_freq":"Quarterly","primary_land_value":453453453,"total_sales":"1360360359","total_revenue":"1360813812","milk_sales":453453453,"other_product_sales":453453453,"other_income":453453453,"grant_income":453453,"bank_sales":453453453453,"top5_buyer_pct":"33333.33","largest_buyer_pct":"39.95","total_buyers":453,"top5_buyers_sales":453453453453,"largest_buyer_sales":543453453,"gov_buyer_sales":453453453,"no_govt_buyers":4,"large_private_buyer_sales":453453453,"no_private_sector_buyer":4,"small_buyer_sales":453453453,"no_small_buyer_sales":54,"avg_collection_days":45,"contract_coverage":5,"total_opex":"11999162158","raw_milk_cost":4563453453,"processing_cost":0,"packaging_cost":0,"transport_cost":4534534534,"other_processing_cost":0,"salary_expense":543453453,"admin_expense":543453453,"electricity_expense":453453453,"fuel_expense":453453453,"repair_expense":453453453,"rent_expense":453453,"other_opex":453453453,"lowest_monthly_expense":543453453,"annual_depreciation":453453,"amortization_amount":4,"total_cash":"45796887","total_current_assets":"141495362","total_fixed_assets":"5751094482","total_assets":"5892589844","cash_hand":453453,"bank_balance":45343434,"accounts_receivable":4554354,"inventory_value":45345345,"prepaid_expenses":453433,"other_current_assets":45345343,"land_value":453453453,"building_value":45343435,"machinery_value":4345345344,"vehicle_value":453453453,"furniture_value":453453453,"other_fixed_assets":45344,"total_current_liabilities":"1903813812","total_long_term_liabilities":"453453457","total_liabilities":"2357267269","accounts_payable":453453453,"short_term_loan":453453453,"accrued_expenses":543453453,"current_ltd":453453453,"long_term_loan":453453453,"other_ltl":4,"total_net_worth":"1360360359","paid_up_capital":453453453,"retained_earnings":453453453,"reserve_fund":453453453,"total_milk_sold":"400000000","avg_milk_per_farmer":"1001001","total_milk_collected":453453453,"milk_loss":53453453,"processing_loss":0,"avg_monthly_milk":453453435,"lowest_monthly_milk":45345343,"highest_monthly_milk":453453453,"avg_inventory_value":453453453,"credit_period_given_days":45,"top5_farmers_milk":453453453,"highest_farmer_qty":453453453,"lowest_farmer_qty":453,"total_farmers":453,"collection_days":453,"total_member_loans":45343435545,"npa_member_loans":5434534,"overdue_member_loans":453453453,"restructured_loans_3yr":"Few Times","max_dpd_members":45,"credit_history_flag":"With few delays","cash_last_year":453453453,"cash_prev_year":453453453,"audit_observations":5,"mgmt_experience":8,"internal_control_score":"65","loan_policy_compliance":"Yes","vehicle_avail_pct":"Yes","storage_cold_facility":"Yes","quality_sop_score":"85","insurance_available":"Yes","digital_mis_pos":"Partial","regulatory_compliance":"Partial","climatic_risk_score":"5","credit_history_bfi":"Substandard","max_dpd_bfi":4,"meeting_frequency":"Monthly","member_info_transparency":"Sometimes","fund_usage":"Processing","kyc_aml":"Sometimes","income_expense_checked":"Occasionally","right_to_information":"Mostly Beforehand","community_support_level":"Moderate","emergency_response":"Ad-hoc","customer_type":"new"}</t>
  </si>
  <si>
    <t>SUB-4E8ECBC2-948</t>
  </si>
  <si>
    <t>2026-03-18T05:47:44.817Z</t>
  </si>
  <si>
    <t>SUB-42357BCB-832</t>
  </si>
  <si>
    <t>Email</t>
  </si>
  <si>
    <t>Password</t>
  </si>
  <si>
    <t>Role</t>
  </si>
  <si>
    <t>Status</t>
  </si>
  <si>
    <t>time_logged_in</t>
  </si>
  <si>
    <t>time_logged_out</t>
  </si>
  <si>
    <t>test@admin.com</t>
  </si>
  <si>
    <t>3b612c75a7b5048a435fb6ec81e52ff92d6d795a8b5a9c17070f6a63c97a53b2</t>
  </si>
  <si>
    <t>admin</t>
  </si>
  <si>
    <t>active</t>
  </si>
  <si>
    <t>S.n</t>
  </si>
  <si>
    <t>time_stamp</t>
  </si>
  <si>
    <t>Result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</si>
</sst>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b/>
      <sz val="12.0"/>
      <color theme="1"/>
      <name val="Times New Roman"/>
    </font>
    <font>
      <sz val="12.0"/>
      <color theme="1"/>
      <name val="Times New Roman"/>
    </font>
    <font>
      <color theme="1"/>
      <name val="Arial"/>
      <scheme val="minor"/>
    </font>
    <font>
      <b/>
      <sz val="11.0"/>
      <color rgb="FFFFFFFF"/>
      <name val="Calibri"/>
    </font>
    <font>
      <b/>
      <sz val="11.0"/>
      <color theme="1"/>
      <name val="Calibri"/>
    </font>
    <font>
      <sz val="11.0"/>
      <color theme="1"/>
      <name val="Calibri"/>
    </font>
    <font>
      <b/>
      <sz val="12.0"/>
      <color rgb="FF000000"/>
      <name val="Times New Roman"/>
    </font>
    <font>
      <sz val="12.0"/>
      <color rgb="FF000000"/>
      <name val="Times New Roman"/>
    </font>
  </fonts>
  <fills count="5">
    <fill>
      <patternFill patternType="none"/>
    </fill>
    <fill>
      <patternFill patternType="lightGray"/>
    </fill>
    <fill>
      <patternFill patternType="solid">
        <fgColor rgb="FF5B9BD5"/>
        <bgColor rgb="FF5B9BD5"/>
      </patternFill>
    </fill>
    <fill>
      <patternFill patternType="solid">
        <fgColor rgb="FFDEEAF6"/>
        <bgColor rgb="FFDEEAF6"/>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vertical="bottom"/>
    </xf>
    <xf borderId="1" fillId="0" fontId="1" numFmtId="0" xfId="0" applyAlignment="1" applyBorder="1" applyFont="1">
      <alignment horizontal="center" readingOrder="0" vertical="bottom"/>
    </xf>
    <xf borderId="0" fillId="0" fontId="1" numFmtId="0" xfId="0" applyAlignment="1" applyFont="1">
      <alignment horizontal="center" readingOrder="0"/>
    </xf>
    <xf borderId="1" fillId="0" fontId="1" numFmtId="0" xfId="0" applyAlignment="1" applyBorder="1" applyFont="1">
      <alignment vertical="top"/>
    </xf>
    <xf borderId="1" fillId="0" fontId="1" numFmtId="0" xfId="0" applyAlignment="1" applyBorder="1" applyFont="1">
      <alignment vertical="bottom"/>
    </xf>
    <xf borderId="1" fillId="0" fontId="2" numFmtId="49" xfId="0" applyAlignment="1" applyBorder="1" applyFont="1" applyNumberFormat="1">
      <alignment vertical="bottom"/>
    </xf>
    <xf borderId="1" fillId="0" fontId="1" numFmtId="3" xfId="0" applyAlignment="1" applyBorder="1" applyFont="1" applyNumberFormat="1">
      <alignment horizontal="center" readingOrder="0"/>
    </xf>
    <xf borderId="1" fillId="0" fontId="1" numFmtId="3" xfId="0" applyAlignment="1" applyBorder="1" applyFont="1" applyNumberFormat="1">
      <alignment horizontal="center"/>
    </xf>
    <xf borderId="1" fillId="0" fontId="2" numFmtId="0" xfId="0" applyAlignment="1" applyBorder="1" applyFont="1">
      <alignment vertical="bottom"/>
    </xf>
    <xf borderId="0" fillId="0" fontId="1" numFmtId="0" xfId="0" applyAlignment="1" applyFont="1">
      <alignment vertical="bottom"/>
    </xf>
    <xf borderId="0" fillId="0" fontId="1" numFmtId="3" xfId="0" applyAlignment="1" applyFont="1" applyNumberFormat="1">
      <alignment horizontal="center"/>
    </xf>
    <xf borderId="0" fillId="0" fontId="2" numFmtId="0" xfId="0" applyAlignment="1" applyFont="1">
      <alignment vertical="bottom"/>
    </xf>
    <xf borderId="0" fillId="0" fontId="1" numFmtId="10" xfId="0" applyAlignment="1" applyFont="1" applyNumberFormat="1">
      <alignment horizontal="center"/>
    </xf>
    <xf borderId="1" fillId="0" fontId="2" numFmtId="0" xfId="0" applyAlignment="1" applyBorder="1" applyFont="1">
      <alignment readingOrder="0" vertical="bottom"/>
    </xf>
    <xf borderId="1" fillId="0" fontId="1" numFmtId="10" xfId="0" applyAlignment="1" applyBorder="1" applyFont="1" applyNumberFormat="1">
      <alignment horizontal="center" readingOrder="0"/>
    </xf>
    <xf borderId="1" fillId="0" fontId="1" numFmtId="10" xfId="0" applyAlignment="1" applyBorder="1" applyFont="1" applyNumberFormat="1">
      <alignment horizontal="center"/>
    </xf>
    <xf borderId="1" fillId="0" fontId="1" numFmtId="0" xfId="0" applyAlignment="1" applyBorder="1" applyFont="1">
      <alignment readingOrder="0" vertical="bottom"/>
    </xf>
    <xf borderId="1" fillId="0" fontId="1" numFmtId="0" xfId="0" applyAlignment="1" applyBorder="1" applyFont="1">
      <alignment shrinkToFit="0" vertical="bottom" wrapText="1"/>
    </xf>
    <xf borderId="1" fillId="0" fontId="2"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vertical="top"/>
    </xf>
    <xf borderId="0" fillId="0" fontId="2" numFmtId="49" xfId="0" applyAlignment="1" applyFont="1" applyNumberFormat="1">
      <alignment vertical="bottom"/>
    </xf>
    <xf borderId="0" fillId="0" fontId="1" numFmtId="3" xfId="0" applyAlignment="1" applyFont="1" applyNumberFormat="1">
      <alignment horizontal="center" readingOrder="0"/>
    </xf>
    <xf borderId="0" fillId="0" fontId="1" numFmtId="0" xfId="0" applyAlignment="1" applyFont="1">
      <alignment shrinkToFit="0" vertical="bottom" wrapText="1"/>
    </xf>
    <xf borderId="0" fillId="0" fontId="2" numFmtId="0" xfId="0" applyAlignment="1" applyFont="1">
      <alignment shrinkToFit="0" wrapText="1"/>
    </xf>
    <xf borderId="1" fillId="0" fontId="1" numFmtId="0" xfId="0" applyAlignment="1" applyBorder="1" applyFont="1">
      <alignment horizontal="center"/>
    </xf>
    <xf borderId="1" fillId="0" fontId="1" numFmtId="0" xfId="0" applyBorder="1" applyFont="1"/>
    <xf borderId="1" fillId="0" fontId="1" numFmtId="49" xfId="0" applyAlignment="1" applyBorder="1" applyFont="1" applyNumberForma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center"/>
    </xf>
    <xf borderId="2" fillId="0" fontId="2" numFmtId="0" xfId="0" applyBorder="1" applyFont="1"/>
    <xf borderId="3" fillId="0" fontId="1" numFmtId="0" xfId="0" applyAlignment="1" applyBorder="1" applyFont="1">
      <alignment horizontal="center"/>
    </xf>
    <xf borderId="2" fillId="0" fontId="2" numFmtId="3" xfId="0" applyAlignment="1" applyBorder="1" applyFont="1" applyNumberFormat="1">
      <alignment horizontal="center"/>
    </xf>
    <xf borderId="4" fillId="0" fontId="1" numFmtId="0" xfId="0" applyAlignment="1" applyBorder="1" applyFont="1">
      <alignment horizontal="center"/>
    </xf>
    <xf borderId="1" fillId="0" fontId="2" numFmtId="3" xfId="0" applyAlignment="1" applyBorder="1" applyFont="1" applyNumberFormat="1">
      <alignment horizontal="center"/>
    </xf>
    <xf borderId="2" fillId="0" fontId="2" numFmtId="0" xfId="0" applyAlignment="1" applyBorder="1" applyFont="1">
      <alignment readingOrder="0"/>
    </xf>
    <xf borderId="1" fillId="0" fontId="2" numFmtId="10" xfId="0" applyAlignment="1" applyBorder="1" applyFont="1" applyNumberFormat="1">
      <alignment horizontal="center"/>
    </xf>
    <xf borderId="1" fillId="0" fontId="2" numFmtId="0" xfId="0" applyAlignment="1" applyBorder="1" applyFont="1">
      <alignment vertical="bottom"/>
    </xf>
    <xf borderId="1" fillId="0" fontId="1" numFmtId="0" xfId="0" applyAlignment="1" applyBorder="1" applyFont="1">
      <alignment vertical="bottom"/>
    </xf>
    <xf borderId="1" fillId="0" fontId="1" numFmtId="0" xfId="0" applyAlignment="1" applyBorder="1" applyFont="1">
      <alignment horizontal="center" readingOrder="0" vertical="top"/>
    </xf>
    <xf borderId="1" fillId="0" fontId="2" numFmtId="0" xfId="0" applyAlignment="1" applyBorder="1" applyFont="1">
      <alignment horizontal="right" vertical="bottom"/>
    </xf>
    <xf borderId="1" fillId="0" fontId="2" numFmtId="2" xfId="0" applyAlignment="1" applyBorder="1" applyFont="1" applyNumberFormat="1">
      <alignment horizontal="center" vertical="top"/>
    </xf>
    <xf borderId="1" fillId="0" fontId="2" numFmtId="10" xfId="0" applyAlignment="1" applyBorder="1" applyFont="1" applyNumberFormat="1">
      <alignment horizontal="center" vertical="top"/>
    </xf>
    <xf borderId="1" fillId="0" fontId="2" numFmtId="3" xfId="0" applyAlignment="1" applyBorder="1" applyFont="1" applyNumberFormat="1">
      <alignment horizontal="center" vertical="top"/>
    </xf>
    <xf borderId="5" fillId="2" fontId="4" numFmtId="0" xfId="0" applyAlignment="1" applyBorder="1" applyFill="1" applyFont="1">
      <alignment horizontal="center"/>
    </xf>
    <xf borderId="2" fillId="2" fontId="4" numFmtId="0" xfId="0" applyBorder="1" applyFont="1"/>
    <xf borderId="2" fillId="2" fontId="4" numFmtId="0" xfId="0" applyAlignment="1" applyBorder="1" applyFont="1">
      <alignment horizontal="center"/>
    </xf>
    <xf borderId="2" fillId="2" fontId="4" numFmtId="0" xfId="0" applyAlignment="1" applyBorder="1" applyFont="1">
      <alignment horizontal="center" readingOrder="0"/>
    </xf>
    <xf borderId="0" fillId="2" fontId="4" numFmtId="0" xfId="0" applyAlignment="1" applyFont="1">
      <alignment horizontal="center" readingOrder="0"/>
    </xf>
    <xf borderId="6" fillId="3" fontId="5" numFmtId="0" xfId="0" applyAlignment="1" applyBorder="1" applyFill="1" applyFont="1">
      <alignment horizontal="right"/>
    </xf>
    <xf borderId="1" fillId="3" fontId="6" numFmtId="0" xfId="0" applyBorder="1" applyFont="1"/>
    <xf borderId="1" fillId="3" fontId="6" numFmtId="0" xfId="0" applyAlignment="1" applyBorder="1" applyFont="1">
      <alignment horizontal="center"/>
    </xf>
    <xf borderId="1" fillId="3" fontId="5" numFmtId="0" xfId="0" applyAlignment="1" applyBorder="1" applyFont="1">
      <alignment horizontal="center"/>
    </xf>
    <xf borderId="0" fillId="3" fontId="6" numFmtId="0" xfId="0" applyAlignment="1" applyFont="1">
      <alignment horizontal="center" readingOrder="0"/>
    </xf>
    <xf borderId="6" fillId="4" fontId="5" numFmtId="0" xfId="0" applyBorder="1" applyFill="1" applyFont="1"/>
    <xf borderId="1" fillId="4" fontId="6" numFmtId="0" xfId="0" applyBorder="1" applyFont="1"/>
    <xf borderId="1" fillId="4" fontId="5" numFmtId="0" xfId="0" applyAlignment="1" applyBorder="1" applyFont="1">
      <alignment horizontal="center"/>
    </xf>
    <xf borderId="1" fillId="4" fontId="6" numFmtId="0" xfId="0" applyAlignment="1" applyBorder="1" applyFont="1">
      <alignment horizontal="center"/>
    </xf>
    <xf borderId="0" fillId="4" fontId="6" numFmtId="0" xfId="0" applyAlignment="1" applyFont="1">
      <alignment horizontal="center" readingOrder="0"/>
    </xf>
    <xf borderId="6" fillId="3" fontId="5" numFmtId="0" xfId="0" applyBorder="1" applyFont="1"/>
    <xf borderId="0" fillId="4" fontId="6" numFmtId="0" xfId="0" applyAlignment="1" applyFont="1">
      <alignment horizontal="center"/>
    </xf>
    <xf borderId="0" fillId="4" fontId="3" numFmtId="0" xfId="0" applyFont="1"/>
    <xf borderId="6" fillId="4" fontId="5" numFmtId="0" xfId="0" applyAlignment="1" applyBorder="1" applyFont="1">
      <alignment horizontal="right"/>
    </xf>
    <xf borderId="0" fillId="4" fontId="6" numFmtId="0" xfId="0" applyAlignment="1" applyFont="1">
      <alignment horizontal="center" vertical="bottom"/>
    </xf>
    <xf borderId="0" fillId="3" fontId="6" numFmtId="0" xfId="0" applyAlignment="1" applyFont="1">
      <alignment horizontal="center" vertical="bottom"/>
    </xf>
    <xf borderId="0" fillId="3" fontId="6" numFmtId="0" xfId="0" applyAlignment="1" applyFont="1">
      <alignment horizontal="center" readingOrder="0" vertical="bottom"/>
    </xf>
    <xf borderId="1" fillId="4" fontId="6" numFmtId="0" xfId="0" applyAlignment="1" applyBorder="1" applyFont="1">
      <alignment horizontal="center" vertical="bottom"/>
    </xf>
    <xf borderId="1" fillId="3" fontId="6" numFmtId="0" xfId="0" applyAlignment="1" applyBorder="1" applyFont="1">
      <alignment horizontal="center" vertical="bottom"/>
    </xf>
    <xf borderId="6" fillId="3" fontId="5" numFmtId="0" xfId="0" applyAlignment="1" applyBorder="1" applyFont="1">
      <alignment vertical="bottom"/>
    </xf>
    <xf borderId="6" fillId="4" fontId="5" numFmtId="0" xfId="0" applyAlignment="1" applyBorder="1" applyFont="1">
      <alignment vertical="bottom"/>
    </xf>
    <xf borderId="1" fillId="4" fontId="6" numFmtId="0" xfId="0" applyAlignment="1" applyBorder="1" applyFont="1">
      <alignment vertical="bottom"/>
    </xf>
    <xf borderId="1" fillId="4" fontId="5" numFmtId="0" xfId="0" applyAlignment="1" applyBorder="1" applyFont="1">
      <alignment horizontal="center" vertical="bottom"/>
    </xf>
    <xf borderId="0" fillId="4" fontId="6" numFmtId="0" xfId="0" applyAlignment="1" applyFont="1">
      <alignment horizontal="center" readingOrder="0" vertical="bottom"/>
    </xf>
    <xf borderId="7" fillId="3" fontId="5" numFmtId="0" xfId="0" applyAlignment="1" applyBorder="1" applyFont="1">
      <alignment vertical="bottom"/>
    </xf>
    <xf borderId="8" fillId="3" fontId="6" numFmtId="0" xfId="0" applyBorder="1" applyFont="1"/>
    <xf borderId="8" fillId="3" fontId="6" numFmtId="0" xfId="0" applyAlignment="1" applyBorder="1" applyFont="1">
      <alignment vertical="bottom"/>
    </xf>
    <xf borderId="8" fillId="3" fontId="5" numFmtId="0" xfId="0" applyAlignment="1" applyBorder="1" applyFont="1">
      <alignment horizontal="center" vertical="bottom"/>
    </xf>
    <xf borderId="8" fillId="3" fontId="6" numFmtId="0" xfId="0" applyAlignment="1" applyBorder="1" applyFont="1">
      <alignment horizontal="center" vertical="bottom"/>
    </xf>
    <xf borderId="1" fillId="0" fontId="6" numFmtId="0" xfId="0" applyAlignment="1" applyBorder="1" applyFont="1">
      <alignment horizontal="center" vertical="bottom"/>
    </xf>
    <xf borderId="1" fillId="3" fontId="6" numFmtId="0" xfId="0" applyAlignment="1" applyBorder="1" applyFont="1">
      <alignment horizontal="center" vertical="bottom"/>
    </xf>
    <xf borderId="1" fillId="4" fontId="7" numFmtId="0" xfId="0" applyAlignment="1" applyBorder="1" applyFont="1">
      <alignment horizontal="left" readingOrder="0"/>
    </xf>
    <xf borderId="1" fillId="4" fontId="8" numFmtId="0" xfId="0" applyAlignment="1" applyBorder="1" applyFont="1">
      <alignment readingOrder="0"/>
    </xf>
    <xf borderId="1" fillId="4" fontId="8" numFmtId="0" xfId="0" applyAlignment="1" applyBorder="1" applyFont="1">
      <alignment horizontal="left" readingOrder="0"/>
    </xf>
    <xf borderId="1" fillId="0" fontId="8" numFmtId="0" xfId="0" applyAlignment="1" applyBorder="1" applyFont="1">
      <alignment horizontal="left"/>
    </xf>
    <xf borderId="1" fillId="0" fontId="2" numFmtId="0" xfId="0" applyAlignment="1" applyBorder="1" applyFont="1">
      <alignment readingOrder="0"/>
    </xf>
    <xf borderId="1" fillId="0" fontId="2" numFmtId="0" xfId="0" applyBorder="1" applyFont="1"/>
    <xf borderId="0" fillId="0" fontId="1" numFmtId="3" xfId="0" applyAlignment="1" applyFont="1" applyNumberFormat="1">
      <alignment horizontal="center" readingOrder="0" vertical="center"/>
    </xf>
    <xf borderId="1" fillId="0" fontId="2" numFmtId="0" xfId="0" applyAlignment="1" applyBorder="1" applyFont="1">
      <alignment shrinkToFit="0" vertical="center" wrapText="1"/>
    </xf>
    <xf borderId="0" fillId="0" fontId="3" numFmtId="3" xfId="0" applyAlignment="1" applyFont="1" applyNumberFormat="1">
      <alignment readingOrder="0"/>
    </xf>
    <xf borderId="0" fillId="0" fontId="3" numFmtId="0" xfId="0" applyAlignment="1" applyFont="1">
      <alignment readingOrder="0"/>
    </xf>
    <xf borderId="0" fillId="0" fontId="3" numFmtId="164" xfId="0" applyAlignment="1" applyFont="1" applyNumberFormat="1">
      <alignment readingOrder="0"/>
    </xf>
    <xf borderId="0" fillId="0" fontId="3" numFmtId="0" xfId="0" applyAlignment="1" applyFont="1">
      <alignment readingOrder="0"/>
    </xf>
    <xf borderId="0" fillId="0" fontId="3" numFmtId="14" xfId="0" applyAlignment="1" applyFont="1" applyNumberFormat="1">
      <alignment readingOrder="0"/>
    </xf>
    <xf borderId="1" fillId="0" fontId="8" numFmtId="0" xfId="0" applyAlignment="1" applyBorder="1" applyFont="1">
      <alignment readingOrder="0"/>
    </xf>
    <xf borderId="1" fillId="0" fontId="8" numFmtId="4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3">
    <tableStyle count="3" pivot="0" name="Model-style">
      <tableStyleElement dxfId="1" type="headerRow"/>
      <tableStyleElement dxfId="2" type="firstRowStripe"/>
      <tableStyleElement dxfId="3" type="secondRowStripe"/>
    </tableStyle>
    <tableStyle count="2" pivot="0" name="Model-style 2">
      <tableStyleElement dxfId="3" type="firstRowStripe"/>
      <tableStyleElement dxfId="2" type="secondRowStripe"/>
    </tableStyle>
    <tableStyle count="2" pivot="0" name="Model-style 3">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46" displayName="Table_1" name="Table_1" id="1">
  <tableColumns count="8">
    <tableColumn name="SN" id="1"/>
    <tableColumn name="Parameter" id="2"/>
    <tableColumn name="Parameter Weight (Points)" id="3"/>
    <tableColumn name="Weight for sub-parameters" id="4"/>
    <tableColumn name="Sub-Parameter" id="5"/>
    <tableColumn name="Sub Weight (Points)" id="6"/>
    <tableColumn name="Placeholder" id="7"/>
    <tableColumn name="Data(value)" id="8"/>
  </tableColumns>
  <tableStyleInfo name="Model-style" showColumnStripes="0" showFirstColumn="1" showLastColumn="1" showRowStripes="1"/>
</table>
</file>

<file path=xl/tables/table2.xml><?xml version="1.0" encoding="utf-8"?>
<table xmlns="http://schemas.openxmlformats.org/spreadsheetml/2006/main" headerRowCount="0" ref="L12:M30" displayName="Table_2" name="Table_2" id="2">
  <tableColumns count="2">
    <tableColumn name="Column1" id="1"/>
    <tableColumn name="Column2" id="2"/>
  </tableColumns>
  <tableStyleInfo name="Model-style 2" showColumnStripes="0" showFirstColumn="1" showLastColumn="1" showRowStripes="1"/>
</table>
</file>

<file path=xl/tables/table3.xml><?xml version="1.0" encoding="utf-8"?>
<table xmlns="http://schemas.openxmlformats.org/spreadsheetml/2006/main" headerRowCount="0" ref="M37:M46" displayName="Table_3" name="Table_3" id="3">
  <tableColumns count="1">
    <tableColumn name="Column1" id="1"/>
  </tableColumns>
  <tableStyleInfo name="Model-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5" Type="http://schemas.openxmlformats.org/officeDocument/2006/relationships/table" Target="../tables/table1.xml"/><Relationship Id="rId6" Type="http://schemas.openxmlformats.org/officeDocument/2006/relationships/table" Target="../tables/table2.xml"/><Relationship Id="rId7"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05.88"/>
    <col customWidth="1" min="3" max="3" width="31.5"/>
    <col customWidth="1" min="4" max="4" width="24.75"/>
    <col customWidth="1" min="5" max="6" width="50.88"/>
    <col customWidth="1" min="8" max="8" width="27.88"/>
  </cols>
  <sheetData>
    <row r="1">
      <c r="A1" s="1" t="s">
        <v>0</v>
      </c>
      <c r="B1" s="2" t="s">
        <v>1</v>
      </c>
      <c r="C1" s="2" t="s">
        <v>2</v>
      </c>
      <c r="D1" s="3" t="s">
        <v>3</v>
      </c>
      <c r="E1" s="3" t="s">
        <v>4</v>
      </c>
      <c r="F1" s="4" t="s">
        <v>5</v>
      </c>
    </row>
    <row r="2">
      <c r="A2" s="5">
        <v>1.0</v>
      </c>
      <c r="B2" s="6" t="s">
        <v>6</v>
      </c>
      <c r="C2" s="7" t="s">
        <v>7</v>
      </c>
      <c r="D2" s="8"/>
      <c r="E2" s="9" t="s">
        <v>8</v>
      </c>
      <c r="F2" s="8"/>
    </row>
    <row r="3">
      <c r="A3" s="5">
        <v>2.0</v>
      </c>
      <c r="B3" s="6" t="s">
        <v>9</v>
      </c>
      <c r="C3" s="10" t="s">
        <v>10</v>
      </c>
      <c r="D3" s="8"/>
      <c r="E3" s="9" t="s">
        <v>11</v>
      </c>
      <c r="F3" s="8" t="s">
        <v>11</v>
      </c>
    </row>
    <row r="4">
      <c r="A4" s="5">
        <v>3.0</v>
      </c>
      <c r="B4" s="6" t="s">
        <v>12</v>
      </c>
      <c r="C4" s="10" t="s">
        <v>13</v>
      </c>
      <c r="D4" s="8"/>
      <c r="E4" s="9" t="s">
        <v>14</v>
      </c>
      <c r="F4" s="8" t="s">
        <v>15</v>
      </c>
    </row>
    <row r="5">
      <c r="A5" s="5">
        <v>4.0</v>
      </c>
      <c r="B5" s="6" t="s">
        <v>16</v>
      </c>
      <c r="C5" s="10" t="s">
        <v>17</v>
      </c>
      <c r="D5" s="8"/>
      <c r="E5" s="9">
        <v>10.0</v>
      </c>
      <c r="F5" s="9">
        <v>10.0</v>
      </c>
    </row>
    <row r="6">
      <c r="A6" s="5">
        <v>5.0</v>
      </c>
      <c r="B6" s="6" t="s">
        <v>18</v>
      </c>
      <c r="C6" s="10" t="s">
        <v>19</v>
      </c>
      <c r="D6" s="8"/>
      <c r="E6" s="9" t="s">
        <v>20</v>
      </c>
      <c r="F6" s="9" t="s">
        <v>20</v>
      </c>
    </row>
    <row r="7">
      <c r="A7" s="5">
        <v>6.0</v>
      </c>
      <c r="B7" s="6" t="s">
        <v>21</v>
      </c>
      <c r="C7" s="10" t="s">
        <v>22</v>
      </c>
      <c r="D7" s="8"/>
      <c r="E7" s="9">
        <v>1500000.0</v>
      </c>
      <c r="F7" s="9">
        <v>1500000.0</v>
      </c>
    </row>
    <row r="8">
      <c r="A8" s="5">
        <v>7.0</v>
      </c>
      <c r="B8" s="6" t="s">
        <v>23</v>
      </c>
      <c r="C8" s="10" t="s">
        <v>24</v>
      </c>
      <c r="D8" s="8"/>
      <c r="E8" s="9">
        <v>200000.0</v>
      </c>
      <c r="F8" s="9">
        <v>200000.0</v>
      </c>
    </row>
    <row r="9">
      <c r="A9" s="5">
        <v>8.0</v>
      </c>
      <c r="B9" s="6" t="s">
        <v>25</v>
      </c>
      <c r="C9" s="6" t="s">
        <v>26</v>
      </c>
      <c r="D9" s="8"/>
      <c r="E9" s="9">
        <f t="shared" ref="E9:F9" si="1">E7+E8</f>
        <v>1700000</v>
      </c>
      <c r="F9" s="9">
        <f t="shared" si="1"/>
        <v>1700000</v>
      </c>
    </row>
    <row r="10">
      <c r="A10" s="5">
        <v>9.0</v>
      </c>
      <c r="B10" s="6" t="s">
        <v>27</v>
      </c>
      <c r="C10" s="10" t="s">
        <v>28</v>
      </c>
      <c r="D10" s="8"/>
      <c r="E10" s="9">
        <v>12.0</v>
      </c>
      <c r="F10" s="9">
        <v>12.0</v>
      </c>
    </row>
    <row r="11">
      <c r="A11" s="5">
        <v>10.0</v>
      </c>
      <c r="B11" s="6" t="s">
        <v>29</v>
      </c>
      <c r="C11" s="10" t="s">
        <v>30</v>
      </c>
      <c r="D11" s="8"/>
      <c r="E11" s="9">
        <v>60.0</v>
      </c>
      <c r="F11" s="9">
        <v>60.0</v>
      </c>
      <c r="H11" s="11"/>
      <c r="I11" s="12"/>
    </row>
    <row r="12">
      <c r="A12" s="5">
        <v>11.0</v>
      </c>
      <c r="B12" s="6" t="s">
        <v>31</v>
      </c>
      <c r="C12" s="10" t="s">
        <v>32</v>
      </c>
      <c r="D12" s="8"/>
      <c r="E12" s="9" t="s">
        <v>33</v>
      </c>
      <c r="F12" s="9" t="s">
        <v>33</v>
      </c>
      <c r="H12" s="11"/>
      <c r="I12" s="12"/>
    </row>
    <row r="13">
      <c r="A13" s="5">
        <v>12.0</v>
      </c>
      <c r="B13" s="6" t="s">
        <v>34</v>
      </c>
      <c r="C13" s="10" t="s">
        <v>35</v>
      </c>
      <c r="D13" s="8"/>
      <c r="E13" s="9">
        <v>2.8E7</v>
      </c>
      <c r="F13" s="9">
        <v>2.8E7</v>
      </c>
      <c r="H13" s="13"/>
      <c r="I13" s="12"/>
    </row>
    <row r="14">
      <c r="A14" s="5">
        <v>13.0</v>
      </c>
      <c r="B14" s="6" t="s">
        <v>36</v>
      </c>
      <c r="C14" s="10" t="s">
        <v>37</v>
      </c>
      <c r="D14" s="8"/>
      <c r="E14" s="9">
        <v>1800000.0</v>
      </c>
      <c r="F14" s="9">
        <v>1800000.0</v>
      </c>
      <c r="H14" s="13"/>
      <c r="I14" s="14"/>
    </row>
    <row r="15">
      <c r="A15" s="5">
        <v>14.0</v>
      </c>
      <c r="B15" s="6" t="s">
        <v>38</v>
      </c>
      <c r="C15" s="10" t="s">
        <v>39</v>
      </c>
      <c r="D15" s="8"/>
      <c r="E15" s="9">
        <v>200000.0</v>
      </c>
      <c r="F15" s="9">
        <v>200000.0</v>
      </c>
      <c r="H15" s="13"/>
      <c r="I15" s="14"/>
    </row>
    <row r="16">
      <c r="A16" s="5">
        <v>15.0</v>
      </c>
      <c r="B16" s="6" t="s">
        <v>40</v>
      </c>
      <c r="C16" s="6" t="s">
        <v>41</v>
      </c>
      <c r="D16" s="8"/>
      <c r="E16" s="9">
        <f t="shared" ref="E16:F16" si="2">E13+E14+E15</f>
        <v>30000000</v>
      </c>
      <c r="F16" s="9">
        <f t="shared" si="2"/>
        <v>30000000</v>
      </c>
      <c r="H16" s="11"/>
      <c r="I16" s="12"/>
    </row>
    <row r="17">
      <c r="A17" s="5">
        <v>16.0</v>
      </c>
      <c r="B17" s="6" t="s">
        <v>42</v>
      </c>
      <c r="C17" s="10" t="s">
        <v>43</v>
      </c>
      <c r="D17" s="8"/>
      <c r="E17" s="9">
        <v>500000.0</v>
      </c>
      <c r="F17" s="9">
        <v>500000.0</v>
      </c>
      <c r="H17" s="11"/>
      <c r="I17" s="12"/>
    </row>
    <row r="18">
      <c r="A18" s="5">
        <v>17.0</v>
      </c>
      <c r="B18" s="6" t="s">
        <v>44</v>
      </c>
      <c r="C18" s="10" t="s">
        <v>45</v>
      </c>
      <c r="D18" s="8"/>
      <c r="E18" s="9">
        <f t="shared" ref="E18:F18" si="3">E17+E16</f>
        <v>30500000</v>
      </c>
      <c r="F18" s="9">
        <f t="shared" si="3"/>
        <v>30500000</v>
      </c>
      <c r="H18" s="11"/>
      <c r="I18" s="12"/>
    </row>
    <row r="19">
      <c r="A19" s="5">
        <v>18.0</v>
      </c>
      <c r="B19" s="6" t="s">
        <v>46</v>
      </c>
      <c r="C19" s="10" t="s">
        <v>47</v>
      </c>
      <c r="D19" s="8"/>
      <c r="E19" s="9">
        <v>1.5E7</v>
      </c>
      <c r="F19" s="9">
        <v>1.5E7</v>
      </c>
      <c r="H19" s="11"/>
      <c r="I19" s="12"/>
    </row>
    <row r="20">
      <c r="A20" s="5">
        <v>19.0</v>
      </c>
      <c r="B20" s="6" t="s">
        <v>48</v>
      </c>
      <c r="C20" s="10" t="s">
        <v>49</v>
      </c>
      <c r="D20" s="8"/>
      <c r="E20" s="9">
        <v>300.0</v>
      </c>
      <c r="F20" s="9">
        <v>300.0</v>
      </c>
      <c r="H20" s="11"/>
      <c r="I20" s="12"/>
    </row>
    <row r="21">
      <c r="A21" s="5">
        <v>20.0</v>
      </c>
      <c r="B21" s="6" t="s">
        <v>50</v>
      </c>
      <c r="C21" s="15" t="s">
        <v>51</v>
      </c>
      <c r="D21" s="8"/>
      <c r="E21" s="9">
        <v>8000000.0</v>
      </c>
      <c r="F21" s="9">
        <v>8000000.0</v>
      </c>
      <c r="H21" s="11"/>
      <c r="I21" s="12"/>
    </row>
    <row r="22">
      <c r="A22" s="5">
        <v>21.0</v>
      </c>
      <c r="B22" s="6" t="s">
        <v>52</v>
      </c>
      <c r="C22" s="10" t="s">
        <v>53</v>
      </c>
      <c r="D22" s="8"/>
      <c r="E22" s="9">
        <v>2000000.0</v>
      </c>
      <c r="F22" s="9">
        <v>2000000.0</v>
      </c>
      <c r="H22" s="11"/>
      <c r="I22" s="12"/>
    </row>
    <row r="23">
      <c r="A23" s="5">
        <v>22.0</v>
      </c>
      <c r="B23" s="6" t="s">
        <v>54</v>
      </c>
      <c r="C23" s="10" t="s">
        <v>55</v>
      </c>
      <c r="D23" s="8"/>
      <c r="E23" s="9">
        <v>1.6E7</v>
      </c>
      <c r="F23" s="9">
        <v>1.6E7</v>
      </c>
      <c r="H23" s="11"/>
      <c r="I23" s="12"/>
    </row>
    <row r="24">
      <c r="A24" s="5">
        <v>23.0</v>
      </c>
      <c r="B24" s="6" t="s">
        <v>56</v>
      </c>
      <c r="C24" s="10" t="s">
        <v>57</v>
      </c>
      <c r="D24" s="8"/>
      <c r="E24" s="9">
        <v>120.0</v>
      </c>
      <c r="F24" s="9">
        <v>120.0</v>
      </c>
      <c r="H24" s="11"/>
      <c r="I24" s="12"/>
    </row>
    <row r="25">
      <c r="A25" s="5">
        <v>24.0</v>
      </c>
      <c r="B25" s="6" t="s">
        <v>58</v>
      </c>
      <c r="C25" s="10" t="s">
        <v>59</v>
      </c>
      <c r="D25" s="8"/>
      <c r="E25" s="9">
        <v>4000000.0</v>
      </c>
      <c r="F25" s="9">
        <v>4000000.0</v>
      </c>
      <c r="H25" s="11"/>
      <c r="I25" s="12"/>
    </row>
    <row r="26">
      <c r="A26" s="5">
        <v>25.0</v>
      </c>
      <c r="B26" s="6" t="s">
        <v>60</v>
      </c>
      <c r="C26" s="10" t="s">
        <v>61</v>
      </c>
      <c r="D26" s="8"/>
      <c r="E26" s="9">
        <v>30.0</v>
      </c>
      <c r="F26" s="9">
        <v>30.0</v>
      </c>
      <c r="H26" s="11"/>
      <c r="I26" s="12"/>
    </row>
    <row r="27">
      <c r="A27" s="5">
        <v>26.0</v>
      </c>
      <c r="B27" s="6" t="s">
        <v>62</v>
      </c>
      <c r="C27" s="10" t="s">
        <v>63</v>
      </c>
      <c r="D27" s="8"/>
      <c r="E27" s="9">
        <v>8000000.0</v>
      </c>
      <c r="F27" s="9">
        <v>8000000.0</v>
      </c>
      <c r="H27" s="11"/>
      <c r="I27" s="12"/>
    </row>
    <row r="28">
      <c r="A28" s="5">
        <v>27.0</v>
      </c>
      <c r="B28" s="6" t="s">
        <v>64</v>
      </c>
      <c r="C28" s="10" t="s">
        <v>65</v>
      </c>
      <c r="D28" s="8"/>
      <c r="E28" s="9">
        <v>150.0</v>
      </c>
      <c r="F28" s="9">
        <v>150.0</v>
      </c>
      <c r="H28" s="11"/>
      <c r="I28" s="12"/>
    </row>
    <row r="29">
      <c r="A29" s="5">
        <v>28.0</v>
      </c>
      <c r="B29" s="6" t="s">
        <v>66</v>
      </c>
      <c r="C29" s="10" t="s">
        <v>67</v>
      </c>
      <c r="D29" s="8"/>
      <c r="E29" s="9">
        <v>35.0</v>
      </c>
      <c r="F29" s="9">
        <v>35.0</v>
      </c>
      <c r="H29" s="11"/>
      <c r="I29" s="12"/>
    </row>
    <row r="30">
      <c r="A30" s="5">
        <v>29.0</v>
      </c>
      <c r="B30" s="6" t="s">
        <v>68</v>
      </c>
      <c r="C30" s="10" t="s">
        <v>69</v>
      </c>
      <c r="D30" s="8"/>
      <c r="E30" s="9">
        <v>1.2E7</v>
      </c>
      <c r="F30" s="9">
        <v>1.2E7</v>
      </c>
    </row>
    <row r="31">
      <c r="A31" s="5">
        <v>30.0</v>
      </c>
      <c r="B31" s="6" t="s">
        <v>70</v>
      </c>
      <c r="C31" s="6" t="s">
        <v>71</v>
      </c>
      <c r="D31" s="16"/>
      <c r="E31" s="17">
        <f t="shared" ref="E31:F31" si="4">(E21/E16)</f>
        <v>0.2666666667</v>
      </c>
      <c r="F31" s="17">
        <f t="shared" si="4"/>
        <v>0.2666666667</v>
      </c>
    </row>
    <row r="32">
      <c r="A32" s="5">
        <v>31.0</v>
      </c>
      <c r="B32" s="6" t="s">
        <v>72</v>
      </c>
      <c r="C32" s="6" t="s">
        <v>73</v>
      </c>
      <c r="D32" s="16"/>
      <c r="E32" s="17">
        <f t="shared" ref="E32:F32" si="5">(E22/E16)</f>
        <v>0.06666666667</v>
      </c>
      <c r="F32" s="17">
        <f t="shared" si="5"/>
        <v>0.06666666667</v>
      </c>
    </row>
    <row r="33">
      <c r="A33" s="5">
        <v>32.0</v>
      </c>
      <c r="B33" s="6" t="s">
        <v>74</v>
      </c>
      <c r="C33" s="10" t="s">
        <v>75</v>
      </c>
      <c r="D33" s="8"/>
      <c r="E33" s="9">
        <v>200.0</v>
      </c>
      <c r="F33" s="9">
        <v>200.0</v>
      </c>
    </row>
    <row r="34">
      <c r="A34" s="5">
        <v>33.0</v>
      </c>
      <c r="B34" s="6" t="s">
        <v>76</v>
      </c>
      <c r="C34" s="10" t="s">
        <v>77</v>
      </c>
      <c r="D34" s="8"/>
      <c r="E34" s="9">
        <v>2000000.0</v>
      </c>
      <c r="F34" s="9">
        <v>2000000.0</v>
      </c>
    </row>
    <row r="35">
      <c r="A35" s="5">
        <v>34.0</v>
      </c>
      <c r="B35" s="6" t="s">
        <v>78</v>
      </c>
      <c r="C35" s="10" t="s">
        <v>79</v>
      </c>
      <c r="D35" s="8"/>
      <c r="E35" s="9">
        <v>1000000.0</v>
      </c>
      <c r="F35" s="9">
        <v>1000000.0</v>
      </c>
    </row>
    <row r="36">
      <c r="A36" s="5">
        <v>35.0</v>
      </c>
      <c r="B36" s="6" t="s">
        <v>80</v>
      </c>
      <c r="C36" s="10" t="s">
        <v>81</v>
      </c>
      <c r="D36" s="8"/>
      <c r="E36" s="9">
        <v>500000.0</v>
      </c>
      <c r="F36" s="9">
        <v>500000.0</v>
      </c>
    </row>
    <row r="37">
      <c r="A37" s="5">
        <v>36.0</v>
      </c>
      <c r="B37" s="6" t="s">
        <v>82</v>
      </c>
      <c r="C37" s="10" t="s">
        <v>83</v>
      </c>
      <c r="D37" s="8"/>
      <c r="E37" s="9">
        <v>200000.0</v>
      </c>
      <c r="F37" s="9">
        <v>200000.0</v>
      </c>
    </row>
    <row r="38">
      <c r="A38" s="5">
        <v>37.0</v>
      </c>
      <c r="B38" s="6" t="s">
        <v>84</v>
      </c>
      <c r="C38" s="10" t="s">
        <v>85</v>
      </c>
      <c r="D38" s="8"/>
      <c r="E38" s="9">
        <v>2500000.0</v>
      </c>
      <c r="F38" s="9">
        <v>2500000.0</v>
      </c>
    </row>
    <row r="39">
      <c r="A39" s="5">
        <v>38.0</v>
      </c>
      <c r="B39" s="6" t="s">
        <v>86</v>
      </c>
      <c r="C39" s="10" t="s">
        <v>87</v>
      </c>
      <c r="D39" s="8"/>
      <c r="E39" s="9">
        <v>1500000.0</v>
      </c>
      <c r="F39" s="9">
        <v>1500000.0</v>
      </c>
    </row>
    <row r="40">
      <c r="A40" s="5">
        <v>39.0</v>
      </c>
      <c r="B40" s="6" t="s">
        <v>88</v>
      </c>
      <c r="C40" s="10" t="s">
        <v>89</v>
      </c>
      <c r="D40" s="8"/>
      <c r="E40" s="9">
        <v>200000.0</v>
      </c>
      <c r="F40" s="9">
        <v>200000.0</v>
      </c>
    </row>
    <row r="41">
      <c r="A41" s="5">
        <v>40.0</v>
      </c>
      <c r="B41" s="6" t="s">
        <v>90</v>
      </c>
      <c r="C41" s="10" t="s">
        <v>91</v>
      </c>
      <c r="D41" s="8"/>
      <c r="E41" s="9">
        <v>200000.0</v>
      </c>
      <c r="F41" s="9">
        <v>200000.0</v>
      </c>
    </row>
    <row r="42">
      <c r="A42" s="5">
        <v>41.0</v>
      </c>
      <c r="B42" s="6" t="s">
        <v>92</v>
      </c>
      <c r="C42" s="10" t="s">
        <v>93</v>
      </c>
      <c r="D42" s="8"/>
      <c r="E42" s="9">
        <v>100000.0</v>
      </c>
      <c r="F42" s="9">
        <v>100000.0</v>
      </c>
    </row>
    <row r="43">
      <c r="A43" s="5">
        <v>42.0</v>
      </c>
      <c r="B43" s="6" t="s">
        <v>94</v>
      </c>
      <c r="C43" s="10" t="s">
        <v>95</v>
      </c>
      <c r="D43" s="8"/>
      <c r="E43" s="9">
        <v>500000.0</v>
      </c>
      <c r="F43" s="9">
        <v>500000.0</v>
      </c>
    </row>
    <row r="44">
      <c r="A44" s="5">
        <v>43.0</v>
      </c>
      <c r="B44" s="6" t="s">
        <v>96</v>
      </c>
      <c r="C44" s="10" t="s">
        <v>97</v>
      </c>
      <c r="D44" s="8"/>
      <c r="E44" s="9">
        <v>200000.0</v>
      </c>
      <c r="F44" s="9">
        <v>200000.0</v>
      </c>
    </row>
    <row r="45">
      <c r="A45" s="5">
        <v>44.0</v>
      </c>
      <c r="B45" s="6" t="s">
        <v>98</v>
      </c>
      <c r="C45" s="6" t="s">
        <v>99</v>
      </c>
      <c r="D45" s="8"/>
      <c r="E45" s="9">
        <f t="shared" ref="E45:F45" si="6">E38+E39+E40+E41+E42+E43+E44</f>
        <v>5200000</v>
      </c>
      <c r="F45" s="9">
        <f t="shared" si="6"/>
        <v>5200000</v>
      </c>
    </row>
    <row r="46">
      <c r="A46" s="5">
        <v>45.0</v>
      </c>
      <c r="B46" s="6" t="s">
        <v>100</v>
      </c>
      <c r="C46" s="6" t="s">
        <v>101</v>
      </c>
      <c r="D46" s="8"/>
      <c r="E46" s="9">
        <f t="shared" ref="E46:F46" si="7">E45/12</f>
        <v>433333.3333</v>
      </c>
      <c r="F46" s="9">
        <f t="shared" si="7"/>
        <v>433333.3333</v>
      </c>
    </row>
    <row r="47">
      <c r="A47" s="5">
        <v>46.0</v>
      </c>
      <c r="B47" s="6" t="s">
        <v>102</v>
      </c>
      <c r="C47" s="10" t="s">
        <v>103</v>
      </c>
      <c r="D47" s="8"/>
      <c r="E47" s="9">
        <v>200000.0</v>
      </c>
      <c r="F47" s="9">
        <v>200000.0</v>
      </c>
    </row>
    <row r="48">
      <c r="A48" s="5">
        <v>47.0</v>
      </c>
      <c r="B48" s="6" t="s">
        <v>104</v>
      </c>
      <c r="C48" s="10" t="s">
        <v>105</v>
      </c>
      <c r="D48" s="8"/>
      <c r="E48" s="9">
        <v>100000.0</v>
      </c>
      <c r="F48" s="9">
        <v>100000.0</v>
      </c>
    </row>
    <row r="49">
      <c r="A49" s="5">
        <v>48.0</v>
      </c>
      <c r="B49" s="6" t="s">
        <v>106</v>
      </c>
      <c r="C49" s="10" t="s">
        <v>107</v>
      </c>
      <c r="D49" s="8"/>
      <c r="E49" s="9">
        <v>500000.0</v>
      </c>
      <c r="F49" s="9">
        <v>500000.0</v>
      </c>
    </row>
    <row r="50">
      <c r="A50" s="5">
        <v>49.0</v>
      </c>
      <c r="B50" s="6" t="s">
        <v>108</v>
      </c>
      <c r="C50" s="10" t="s">
        <v>109</v>
      </c>
      <c r="D50" s="8"/>
      <c r="E50" s="9">
        <v>2500000.0</v>
      </c>
      <c r="F50" s="9">
        <v>2500000.0</v>
      </c>
    </row>
    <row r="51">
      <c r="A51" s="5">
        <v>50.0</v>
      </c>
      <c r="B51" s="6" t="s">
        <v>110</v>
      </c>
      <c r="C51" s="6" t="s">
        <v>111</v>
      </c>
      <c r="D51" s="8"/>
      <c r="E51" s="9">
        <f t="shared" ref="E51:F51" si="8">E49+E50</f>
        <v>3000000</v>
      </c>
      <c r="F51" s="9">
        <f t="shared" si="8"/>
        <v>3000000</v>
      </c>
    </row>
    <row r="52">
      <c r="A52" s="5">
        <v>51.0</v>
      </c>
      <c r="B52" s="6" t="s">
        <v>112</v>
      </c>
      <c r="C52" s="10" t="s">
        <v>113</v>
      </c>
      <c r="D52" s="8"/>
      <c r="E52" s="9">
        <v>3500000.0</v>
      </c>
      <c r="F52" s="9">
        <v>3500000.0</v>
      </c>
    </row>
    <row r="53">
      <c r="A53" s="5">
        <v>52.0</v>
      </c>
      <c r="B53" s="6" t="s">
        <v>114</v>
      </c>
      <c r="C53" s="10" t="s">
        <v>115</v>
      </c>
      <c r="D53" s="8"/>
      <c r="E53" s="9">
        <v>5500000.0</v>
      </c>
      <c r="F53" s="9">
        <v>5500000.0</v>
      </c>
    </row>
    <row r="54">
      <c r="A54" s="5">
        <v>53.0</v>
      </c>
      <c r="B54" s="6" t="s">
        <v>116</v>
      </c>
      <c r="C54" s="10" t="s">
        <v>117</v>
      </c>
      <c r="D54" s="8"/>
      <c r="E54" s="9">
        <v>2500000.0</v>
      </c>
      <c r="F54" s="9">
        <v>2500000.0</v>
      </c>
    </row>
    <row r="55">
      <c r="A55" s="5">
        <v>54.0</v>
      </c>
      <c r="B55" s="6" t="s">
        <v>118</v>
      </c>
      <c r="C55" s="10" t="s">
        <v>119</v>
      </c>
      <c r="D55" s="8"/>
      <c r="E55" s="9">
        <v>500000.0</v>
      </c>
      <c r="F55" s="9">
        <v>500000.0</v>
      </c>
    </row>
    <row r="56">
      <c r="A56" s="5">
        <v>55.0</v>
      </c>
      <c r="B56" s="6" t="s">
        <v>120</v>
      </c>
      <c r="C56" s="6" t="s">
        <v>121</v>
      </c>
      <c r="D56" s="8"/>
      <c r="E56" s="9">
        <f>E51+E52+E53+E54+E55</f>
        <v>15000000</v>
      </c>
      <c r="F56" s="9">
        <f>F52+F53+F54+F55</f>
        <v>12000000</v>
      </c>
    </row>
    <row r="57">
      <c r="A57" s="5">
        <v>56.0</v>
      </c>
      <c r="B57" s="6" t="s">
        <v>122</v>
      </c>
      <c r="C57" s="10" t="s">
        <v>123</v>
      </c>
      <c r="D57" s="8"/>
      <c r="E57" s="9">
        <v>5000000.0</v>
      </c>
      <c r="F57" s="9">
        <v>5000000.0</v>
      </c>
    </row>
    <row r="58">
      <c r="A58" s="5">
        <v>57.0</v>
      </c>
      <c r="B58" s="6" t="s">
        <v>124</v>
      </c>
      <c r="C58" s="10" t="s">
        <v>125</v>
      </c>
      <c r="D58" s="8"/>
      <c r="E58" s="9">
        <v>5000000.0</v>
      </c>
      <c r="F58" s="9">
        <v>5000000.0</v>
      </c>
    </row>
    <row r="59">
      <c r="A59" s="5">
        <v>58.0</v>
      </c>
      <c r="B59" s="6" t="s">
        <v>126</v>
      </c>
      <c r="C59" s="10" t="s">
        <v>127</v>
      </c>
      <c r="D59" s="8"/>
      <c r="E59" s="9">
        <v>2500000.0</v>
      </c>
      <c r="F59" s="9">
        <v>2500000.0</v>
      </c>
    </row>
    <row r="60">
      <c r="A60" s="5">
        <v>59.0</v>
      </c>
      <c r="B60" s="6" t="s">
        <v>128</v>
      </c>
      <c r="C60" s="10" t="s">
        <v>129</v>
      </c>
      <c r="D60" s="8"/>
      <c r="E60" s="9">
        <v>1500000.0</v>
      </c>
      <c r="F60" s="9">
        <v>1500000.0</v>
      </c>
    </row>
    <row r="61">
      <c r="A61" s="5">
        <v>60.0</v>
      </c>
      <c r="B61" s="6" t="s">
        <v>130</v>
      </c>
      <c r="C61" s="10" t="s">
        <v>131</v>
      </c>
      <c r="D61" s="8"/>
      <c r="E61" s="9">
        <v>1500000.0</v>
      </c>
      <c r="F61" s="9">
        <v>1500000.0</v>
      </c>
    </row>
    <row r="62">
      <c r="A62" s="5">
        <v>61.0</v>
      </c>
      <c r="B62" s="6" t="s">
        <v>132</v>
      </c>
      <c r="C62" s="10" t="s">
        <v>133</v>
      </c>
      <c r="D62" s="8"/>
      <c r="E62" s="9">
        <v>500000.0</v>
      </c>
      <c r="F62" s="9">
        <v>500000.0</v>
      </c>
    </row>
    <row r="63">
      <c r="A63" s="5">
        <v>62.0</v>
      </c>
      <c r="B63" s="6" t="s">
        <v>134</v>
      </c>
      <c r="C63" s="6" t="s">
        <v>135</v>
      </c>
      <c r="D63" s="8"/>
      <c r="E63" s="9">
        <f t="shared" ref="E63:F63" si="9">E62+E61+E60+E59+E58+E57</f>
        <v>16000000</v>
      </c>
      <c r="F63" s="9">
        <f t="shared" si="9"/>
        <v>16000000</v>
      </c>
    </row>
    <row r="64">
      <c r="A64" s="5">
        <v>63.0</v>
      </c>
      <c r="B64" s="6" t="s">
        <v>136</v>
      </c>
      <c r="C64" s="6" t="s">
        <v>137</v>
      </c>
      <c r="D64" s="8"/>
      <c r="E64" s="9">
        <f t="shared" ref="E64:F64" si="10">E63+E56</f>
        <v>31000000</v>
      </c>
      <c r="F64" s="9">
        <f t="shared" si="10"/>
        <v>28000000</v>
      </c>
    </row>
    <row r="65">
      <c r="A65" s="5">
        <v>64.0</v>
      </c>
      <c r="B65" s="6" t="s">
        <v>138</v>
      </c>
      <c r="C65" s="10" t="s">
        <v>139</v>
      </c>
      <c r="D65" s="8"/>
      <c r="E65" s="9">
        <v>2500000.0</v>
      </c>
      <c r="F65" s="9">
        <v>2500000.0</v>
      </c>
    </row>
    <row r="66">
      <c r="A66" s="5">
        <v>65.0</v>
      </c>
      <c r="B66" s="6" t="s">
        <v>140</v>
      </c>
      <c r="C66" s="10" t="s">
        <v>141</v>
      </c>
      <c r="D66" s="8"/>
      <c r="E66" s="9">
        <v>1500000.0</v>
      </c>
      <c r="F66" s="9">
        <v>1500000.0</v>
      </c>
    </row>
    <row r="67">
      <c r="A67" s="5">
        <v>66.0</v>
      </c>
      <c r="B67" s="6" t="s">
        <v>142</v>
      </c>
      <c r="C67" s="10" t="s">
        <v>143</v>
      </c>
      <c r="D67" s="8"/>
      <c r="E67" s="9">
        <v>0.0</v>
      </c>
      <c r="F67" s="8">
        <v>1000.0</v>
      </c>
    </row>
    <row r="68">
      <c r="A68" s="5">
        <v>67.0</v>
      </c>
      <c r="B68" s="6" t="s">
        <v>144</v>
      </c>
      <c r="C68" s="10" t="s">
        <v>145</v>
      </c>
      <c r="D68" s="8"/>
      <c r="E68" s="9">
        <v>500000.0</v>
      </c>
      <c r="F68" s="9">
        <v>500000.0</v>
      </c>
    </row>
    <row r="69">
      <c r="A69" s="5">
        <v>68.0</v>
      </c>
      <c r="B69" s="6" t="s">
        <v>146</v>
      </c>
      <c r="C69" s="6" t="s">
        <v>147</v>
      </c>
      <c r="D69" s="8"/>
      <c r="E69" s="9">
        <f t="shared" ref="E69:F69" si="11">SUM(E65:E68)</f>
        <v>4500000</v>
      </c>
      <c r="F69" s="9">
        <f t="shared" si="11"/>
        <v>4501000</v>
      </c>
    </row>
    <row r="70">
      <c r="A70" s="5">
        <v>69.0</v>
      </c>
      <c r="B70" s="6" t="s">
        <v>148</v>
      </c>
      <c r="C70" s="10" t="s">
        <v>149</v>
      </c>
      <c r="D70" s="8"/>
      <c r="E70" s="9">
        <v>1500000.0</v>
      </c>
      <c r="F70" s="9">
        <v>1500000.0</v>
      </c>
    </row>
    <row r="71">
      <c r="A71" s="5">
        <v>70.0</v>
      </c>
      <c r="B71" s="6" t="s">
        <v>150</v>
      </c>
      <c r="C71" s="10" t="s">
        <v>151</v>
      </c>
      <c r="D71" s="8"/>
      <c r="E71" s="9">
        <v>0.0</v>
      </c>
      <c r="F71" s="8">
        <v>1000.0</v>
      </c>
    </row>
    <row r="72">
      <c r="A72" s="5">
        <v>71.0</v>
      </c>
      <c r="B72" s="6" t="s">
        <v>152</v>
      </c>
      <c r="C72" s="6" t="s">
        <v>153</v>
      </c>
      <c r="D72" s="8"/>
      <c r="E72" s="9">
        <f t="shared" ref="E72:F72" si="12">SUM(E70:E71)</f>
        <v>1500000</v>
      </c>
      <c r="F72" s="9">
        <f t="shared" si="12"/>
        <v>1501000</v>
      </c>
    </row>
    <row r="73">
      <c r="A73" s="5">
        <v>72.0</v>
      </c>
      <c r="B73" s="6" t="s">
        <v>154</v>
      </c>
      <c r="C73" s="6" t="s">
        <v>155</v>
      </c>
      <c r="D73" s="8"/>
      <c r="E73" s="9">
        <f t="shared" ref="E73:F73" si="13">E72+E69</f>
        <v>6000000</v>
      </c>
      <c r="F73" s="9">
        <f t="shared" si="13"/>
        <v>6002000</v>
      </c>
    </row>
    <row r="74">
      <c r="A74" s="5">
        <v>73.0</v>
      </c>
      <c r="B74" s="6" t="s">
        <v>156</v>
      </c>
      <c r="C74" s="10" t="s">
        <v>157</v>
      </c>
      <c r="D74" s="8"/>
      <c r="E74" s="9">
        <v>2500000.0</v>
      </c>
      <c r="F74" s="9">
        <v>2500000.0</v>
      </c>
    </row>
    <row r="75">
      <c r="A75" s="5">
        <v>74.0</v>
      </c>
      <c r="B75" s="6" t="s">
        <v>158</v>
      </c>
      <c r="C75" s="10" t="s">
        <v>159</v>
      </c>
      <c r="D75" s="8"/>
      <c r="E75" s="9">
        <v>500000.0</v>
      </c>
      <c r="F75" s="9">
        <v>500000.0</v>
      </c>
    </row>
    <row r="76">
      <c r="A76" s="5">
        <v>75.0</v>
      </c>
      <c r="B76" s="6" t="s">
        <v>160</v>
      </c>
      <c r="C76" s="10" t="s">
        <v>161</v>
      </c>
      <c r="D76" s="8"/>
      <c r="E76" s="9">
        <v>2500000.0</v>
      </c>
      <c r="F76" s="9">
        <v>2500000.0</v>
      </c>
    </row>
    <row r="77">
      <c r="A77" s="5">
        <v>76.0</v>
      </c>
      <c r="B77" s="6" t="s">
        <v>162</v>
      </c>
      <c r="C77" s="10" t="s">
        <v>163</v>
      </c>
      <c r="D77" s="8"/>
      <c r="E77" s="9">
        <f t="shared" ref="E77:F77" si="14">SUM(E74:E76)</f>
        <v>5500000</v>
      </c>
      <c r="F77" s="9">
        <f t="shared" si="14"/>
        <v>5500000</v>
      </c>
    </row>
    <row r="78">
      <c r="A78" s="5">
        <v>77.0</v>
      </c>
      <c r="B78" s="6" t="s">
        <v>164</v>
      </c>
      <c r="C78" s="10" t="s">
        <v>165</v>
      </c>
      <c r="D78" s="8"/>
      <c r="E78" s="9">
        <v>310000.0</v>
      </c>
      <c r="F78" s="9">
        <v>310000.0</v>
      </c>
    </row>
    <row r="79">
      <c r="A79" s="5">
        <v>78.0</v>
      </c>
      <c r="B79" s="6" t="s">
        <v>166</v>
      </c>
      <c r="C79" s="10" t="s">
        <v>167</v>
      </c>
      <c r="D79" s="8"/>
      <c r="E79" s="9">
        <v>10000.0</v>
      </c>
      <c r="F79" s="9">
        <v>10000.0</v>
      </c>
    </row>
    <row r="80">
      <c r="A80" s="5">
        <v>79.0</v>
      </c>
      <c r="B80" s="6" t="s">
        <v>168</v>
      </c>
      <c r="C80" s="10" t="s">
        <v>169</v>
      </c>
      <c r="D80" s="8"/>
      <c r="E80" s="9">
        <v>10000.0</v>
      </c>
      <c r="F80" s="9">
        <v>10000.0</v>
      </c>
    </row>
    <row r="81">
      <c r="A81" s="5">
        <v>80.0</v>
      </c>
      <c r="B81" s="6" t="s">
        <v>170</v>
      </c>
      <c r="C81" s="6" t="s">
        <v>171</v>
      </c>
      <c r="D81" s="8"/>
      <c r="E81" s="9">
        <f t="shared" ref="E81:F81" si="15">E78-E79-E80</f>
        <v>290000</v>
      </c>
      <c r="F81" s="9">
        <f t="shared" si="15"/>
        <v>290000</v>
      </c>
    </row>
    <row r="82">
      <c r="A82" s="5">
        <v>81.0</v>
      </c>
      <c r="B82" s="6" t="s">
        <v>172</v>
      </c>
      <c r="C82" s="6" t="s">
        <v>173</v>
      </c>
      <c r="D82" s="8"/>
      <c r="E82" s="9">
        <f t="shared" ref="E82:F82" si="16">E81/12</f>
        <v>24166.66667</v>
      </c>
      <c r="F82" s="9">
        <f t="shared" si="16"/>
        <v>24166.66667</v>
      </c>
    </row>
    <row r="83">
      <c r="A83" s="5">
        <v>82.0</v>
      </c>
      <c r="B83" s="6" t="s">
        <v>174</v>
      </c>
      <c r="C83" s="10" t="s">
        <v>175</v>
      </c>
      <c r="D83" s="8"/>
      <c r="E83" s="9">
        <v>20000.0</v>
      </c>
      <c r="F83" s="9">
        <v>20000.0</v>
      </c>
    </row>
    <row r="84">
      <c r="A84" s="5">
        <v>83.0</v>
      </c>
      <c r="B84" s="6" t="s">
        <v>176</v>
      </c>
      <c r="C84" s="10" t="s">
        <v>177</v>
      </c>
      <c r="D84" s="8"/>
      <c r="E84" s="9">
        <v>30000.0</v>
      </c>
      <c r="F84" s="9">
        <v>30000.0</v>
      </c>
    </row>
    <row r="85">
      <c r="A85" s="5">
        <v>84.0</v>
      </c>
      <c r="B85" s="6" t="s">
        <v>178</v>
      </c>
      <c r="C85" s="10" t="s">
        <v>179</v>
      </c>
      <c r="D85" s="8"/>
      <c r="E85" s="9">
        <v>2500000.0</v>
      </c>
      <c r="F85" s="9">
        <v>2500000.0</v>
      </c>
    </row>
    <row r="86">
      <c r="A86" s="5">
        <v>85.0</v>
      </c>
      <c r="B86" s="6" t="s">
        <v>180</v>
      </c>
      <c r="C86" s="10" t="s">
        <v>181</v>
      </c>
      <c r="D86" s="8"/>
      <c r="E86" s="9">
        <v>45.0</v>
      </c>
      <c r="F86" s="9">
        <v>45.0</v>
      </c>
    </row>
    <row r="87">
      <c r="A87" s="5">
        <v>86.0</v>
      </c>
      <c r="B87" s="6" t="s">
        <v>182</v>
      </c>
      <c r="C87" s="10" t="s">
        <v>183</v>
      </c>
      <c r="D87" s="8"/>
      <c r="E87" s="9">
        <v>125000.0</v>
      </c>
      <c r="F87" s="9">
        <v>125000.0</v>
      </c>
    </row>
    <row r="88">
      <c r="A88" s="5">
        <v>87.0</v>
      </c>
      <c r="B88" s="6" t="s">
        <v>184</v>
      </c>
      <c r="C88" s="10" t="s">
        <v>185</v>
      </c>
      <c r="D88" s="8"/>
      <c r="E88" s="9">
        <v>35000.0</v>
      </c>
      <c r="F88" s="9">
        <v>35000.0</v>
      </c>
    </row>
    <row r="89">
      <c r="A89" s="5">
        <v>88.0</v>
      </c>
      <c r="B89" s="6" t="s">
        <v>186</v>
      </c>
      <c r="C89" s="10" t="s">
        <v>187</v>
      </c>
      <c r="D89" s="8"/>
      <c r="E89" s="9">
        <v>15000.0</v>
      </c>
      <c r="F89" s="9">
        <v>15000.0</v>
      </c>
    </row>
    <row r="90">
      <c r="A90" s="5">
        <v>89.0</v>
      </c>
      <c r="B90" s="6" t="s">
        <v>188</v>
      </c>
      <c r="C90" s="10" t="s">
        <v>189</v>
      </c>
      <c r="D90" s="8"/>
      <c r="E90" s="9">
        <v>365.0</v>
      </c>
      <c r="F90" s="9">
        <v>365.0</v>
      </c>
    </row>
    <row r="91">
      <c r="A91" s="5">
        <v>90.0</v>
      </c>
      <c r="B91" s="6" t="s">
        <v>190</v>
      </c>
      <c r="C91" s="6" t="s">
        <v>191</v>
      </c>
      <c r="D91" s="8"/>
      <c r="E91" s="9">
        <f t="shared" ref="E91:F91" si="17">E78/E90</f>
        <v>849.3150685</v>
      </c>
      <c r="F91" s="9">
        <f t="shared" si="17"/>
        <v>849.3150685</v>
      </c>
    </row>
    <row r="92">
      <c r="A92" s="5">
        <v>91.0</v>
      </c>
      <c r="B92" s="6" t="s">
        <v>192</v>
      </c>
      <c r="C92" s="10" t="s">
        <v>193</v>
      </c>
      <c r="D92" s="8"/>
      <c r="E92" s="9">
        <v>326.0</v>
      </c>
      <c r="F92" s="9">
        <v>326.0</v>
      </c>
    </row>
    <row r="93">
      <c r="A93" s="5">
        <v>92.0</v>
      </c>
      <c r="B93" s="6" t="s">
        <v>194</v>
      </c>
      <c r="C93" s="10" t="s">
        <v>195</v>
      </c>
      <c r="D93" s="8"/>
      <c r="E93" s="9">
        <v>1.5E7</v>
      </c>
      <c r="F93" s="9">
        <v>1.5E7</v>
      </c>
    </row>
    <row r="94">
      <c r="A94" s="5">
        <v>93.0</v>
      </c>
      <c r="B94" s="6" t="s">
        <v>196</v>
      </c>
      <c r="C94" s="10" t="s">
        <v>197</v>
      </c>
      <c r="D94" s="8"/>
      <c r="E94" s="9">
        <v>2500000.0</v>
      </c>
      <c r="F94" s="9">
        <v>2500000.0</v>
      </c>
    </row>
    <row r="95">
      <c r="A95" s="5">
        <v>94.0</v>
      </c>
      <c r="B95" s="6" t="s">
        <v>198</v>
      </c>
      <c r="C95" s="10" t="s">
        <v>199</v>
      </c>
      <c r="D95" s="8"/>
      <c r="E95" s="9">
        <v>1500000.0</v>
      </c>
      <c r="F95" s="9">
        <v>1500000.0</v>
      </c>
    </row>
    <row r="96">
      <c r="A96" s="5">
        <v>95.0</v>
      </c>
      <c r="B96" s="6" t="s">
        <v>200</v>
      </c>
      <c r="C96" s="10" t="s">
        <v>201</v>
      </c>
      <c r="D96" s="8"/>
      <c r="E96" s="9" t="s">
        <v>202</v>
      </c>
      <c r="F96" s="9" t="s">
        <v>202</v>
      </c>
    </row>
    <row r="97">
      <c r="A97" s="5">
        <v>96.0</v>
      </c>
      <c r="B97" s="6" t="s">
        <v>203</v>
      </c>
      <c r="C97" s="10" t="s">
        <v>204</v>
      </c>
      <c r="D97" s="8"/>
      <c r="E97" s="9">
        <v>15.0</v>
      </c>
      <c r="F97" s="9">
        <v>15.0</v>
      </c>
    </row>
    <row r="98">
      <c r="A98" s="5">
        <v>97.0</v>
      </c>
      <c r="B98" s="6" t="s">
        <v>205</v>
      </c>
      <c r="C98" s="10" t="s">
        <v>206</v>
      </c>
      <c r="D98" s="8"/>
      <c r="E98" s="9" t="s">
        <v>207</v>
      </c>
      <c r="F98" s="9" t="s">
        <v>207</v>
      </c>
    </row>
    <row r="99">
      <c r="A99" s="5">
        <v>98.0</v>
      </c>
      <c r="B99" s="6" t="s">
        <v>208</v>
      </c>
      <c r="C99" s="10" t="s">
        <v>209</v>
      </c>
      <c r="D99" s="8"/>
      <c r="E99" s="9">
        <v>4500000.0</v>
      </c>
      <c r="F99" s="9">
        <v>4500000.0</v>
      </c>
    </row>
    <row r="100">
      <c r="A100" s="5">
        <v>99.0</v>
      </c>
      <c r="B100" s="6" t="s">
        <v>210</v>
      </c>
      <c r="C100" s="10" t="s">
        <v>211</v>
      </c>
      <c r="D100" s="8"/>
      <c r="E100" s="9">
        <v>4000000.0</v>
      </c>
      <c r="F100" s="9">
        <v>4000000.0</v>
      </c>
    </row>
    <row r="101">
      <c r="A101" s="5">
        <v>100.0</v>
      </c>
      <c r="B101" s="6" t="s">
        <v>212</v>
      </c>
      <c r="C101" s="10" t="s">
        <v>213</v>
      </c>
      <c r="D101" s="8"/>
      <c r="E101" s="9">
        <v>8.0</v>
      </c>
      <c r="F101" s="9">
        <v>8.0</v>
      </c>
    </row>
    <row r="102">
      <c r="A102" s="5">
        <v>101.0</v>
      </c>
      <c r="B102" s="6" t="s">
        <v>214</v>
      </c>
      <c r="C102" s="10" t="s">
        <v>215</v>
      </c>
      <c r="D102" s="8"/>
      <c r="E102" s="9" t="s">
        <v>216</v>
      </c>
      <c r="F102" s="9" t="s">
        <v>216</v>
      </c>
    </row>
    <row r="103">
      <c r="A103" s="5">
        <v>102.0</v>
      </c>
      <c r="B103" s="6" t="s">
        <v>217</v>
      </c>
      <c r="C103" s="10" t="s">
        <v>218</v>
      </c>
      <c r="D103" s="8"/>
      <c r="E103" s="9" t="s">
        <v>219</v>
      </c>
      <c r="F103" s="9" t="s">
        <v>219</v>
      </c>
    </row>
    <row r="104">
      <c r="A104" s="5">
        <v>103.0</v>
      </c>
      <c r="B104" s="6" t="s">
        <v>220</v>
      </c>
      <c r="C104" s="10" t="s">
        <v>221</v>
      </c>
      <c r="D104" s="8"/>
      <c r="E104" s="9" t="s">
        <v>222</v>
      </c>
      <c r="F104" s="9" t="s">
        <v>222</v>
      </c>
    </row>
    <row r="105">
      <c r="A105" s="5">
        <v>104.0</v>
      </c>
      <c r="B105" s="6" t="s">
        <v>223</v>
      </c>
      <c r="C105" s="10" t="s">
        <v>224</v>
      </c>
      <c r="D105" s="8"/>
      <c r="E105" s="9" t="s">
        <v>222</v>
      </c>
      <c r="F105" s="9" t="s">
        <v>222</v>
      </c>
    </row>
    <row r="106">
      <c r="A106" s="5">
        <v>105.0</v>
      </c>
      <c r="B106" s="6" t="s">
        <v>225</v>
      </c>
      <c r="C106" s="10" t="s">
        <v>226</v>
      </c>
      <c r="D106" s="8"/>
      <c r="E106" s="9" t="s">
        <v>222</v>
      </c>
      <c r="F106" s="9" t="s">
        <v>222</v>
      </c>
    </row>
    <row r="107">
      <c r="A107" s="5">
        <v>106.0</v>
      </c>
      <c r="B107" s="18" t="s">
        <v>227</v>
      </c>
      <c r="C107" s="10" t="s">
        <v>228</v>
      </c>
      <c r="D107" s="8"/>
      <c r="E107" s="8" t="s">
        <v>229</v>
      </c>
      <c r="F107" s="8" t="s">
        <v>229</v>
      </c>
    </row>
    <row r="108">
      <c r="A108" s="5">
        <v>107.0</v>
      </c>
      <c r="B108" s="6" t="s">
        <v>230</v>
      </c>
      <c r="C108" s="10" t="s">
        <v>231</v>
      </c>
      <c r="D108" s="8"/>
      <c r="E108" s="9" t="s">
        <v>222</v>
      </c>
      <c r="F108" s="9" t="s">
        <v>222</v>
      </c>
    </row>
    <row r="109">
      <c r="A109" s="5">
        <v>108.0</v>
      </c>
      <c r="B109" s="6" t="s">
        <v>232</v>
      </c>
      <c r="C109" s="10" t="s">
        <v>233</v>
      </c>
      <c r="D109" s="8"/>
      <c r="E109" s="9" t="s">
        <v>222</v>
      </c>
      <c r="F109" s="9" t="s">
        <v>222</v>
      </c>
    </row>
    <row r="110">
      <c r="A110" s="5">
        <v>109.0</v>
      </c>
      <c r="B110" s="6" t="s">
        <v>234</v>
      </c>
      <c r="C110" s="10" t="s">
        <v>235</v>
      </c>
      <c r="D110" s="8"/>
      <c r="E110" s="9" t="s">
        <v>236</v>
      </c>
      <c r="F110" s="9" t="s">
        <v>236</v>
      </c>
    </row>
    <row r="111">
      <c r="A111" s="5">
        <v>110.0</v>
      </c>
      <c r="B111" s="6" t="s">
        <v>237</v>
      </c>
      <c r="C111" s="10" t="s">
        <v>238</v>
      </c>
      <c r="D111" s="8"/>
      <c r="E111" s="9" t="s">
        <v>239</v>
      </c>
      <c r="F111" s="8" t="s">
        <v>240</v>
      </c>
    </row>
    <row r="112">
      <c r="A112" s="5">
        <v>111.0</v>
      </c>
      <c r="B112" s="6" t="s">
        <v>241</v>
      </c>
      <c r="C112" s="10" t="s">
        <v>242</v>
      </c>
      <c r="D112" s="8"/>
      <c r="E112" s="9" t="s">
        <v>243</v>
      </c>
      <c r="F112" s="9" t="s">
        <v>243</v>
      </c>
    </row>
    <row r="113">
      <c r="A113" s="5">
        <v>112.0</v>
      </c>
      <c r="B113" s="6" t="s">
        <v>244</v>
      </c>
      <c r="C113" s="10" t="s">
        <v>245</v>
      </c>
      <c r="D113" s="8"/>
      <c r="E113" s="9">
        <v>5.0</v>
      </c>
      <c r="F113" s="9">
        <v>5.0</v>
      </c>
    </row>
    <row r="114">
      <c r="A114" s="5">
        <v>113.0</v>
      </c>
      <c r="B114" s="19" t="s">
        <v>246</v>
      </c>
      <c r="C114" s="10" t="s">
        <v>247</v>
      </c>
      <c r="D114" s="8"/>
      <c r="E114" s="9" t="s">
        <v>248</v>
      </c>
      <c r="F114" s="9" t="s">
        <v>248</v>
      </c>
    </row>
    <row r="115">
      <c r="A115" s="5">
        <v>114.0</v>
      </c>
      <c r="B115" s="19" t="s">
        <v>249</v>
      </c>
      <c r="C115" s="10" t="s">
        <v>250</v>
      </c>
      <c r="D115" s="8"/>
      <c r="E115" s="9" t="s">
        <v>251</v>
      </c>
      <c r="F115" s="9" t="s">
        <v>251</v>
      </c>
    </row>
    <row r="116">
      <c r="A116" s="5">
        <v>115.0</v>
      </c>
      <c r="B116" s="19" t="s">
        <v>252</v>
      </c>
      <c r="C116" s="10" t="s">
        <v>253</v>
      </c>
      <c r="D116" s="8"/>
      <c r="E116" s="9" t="s">
        <v>254</v>
      </c>
      <c r="F116" s="9" t="s">
        <v>254</v>
      </c>
    </row>
    <row r="117">
      <c r="A117" s="5">
        <v>116.0</v>
      </c>
      <c r="B117" s="19" t="s">
        <v>255</v>
      </c>
      <c r="C117" s="10" t="s">
        <v>256</v>
      </c>
      <c r="D117" s="8"/>
      <c r="E117" s="8" t="s">
        <v>257</v>
      </c>
      <c r="F117" s="8" t="s">
        <v>257</v>
      </c>
    </row>
    <row r="118">
      <c r="A118" s="5">
        <v>117.0</v>
      </c>
      <c r="B118" s="19" t="s">
        <v>258</v>
      </c>
      <c r="C118" s="10" t="s">
        <v>259</v>
      </c>
      <c r="D118" s="8"/>
      <c r="E118" s="9" t="s">
        <v>260</v>
      </c>
      <c r="F118" s="9" t="s">
        <v>260</v>
      </c>
    </row>
    <row r="119">
      <c r="A119" s="5">
        <v>118.0</v>
      </c>
      <c r="B119" s="19" t="s">
        <v>261</v>
      </c>
      <c r="C119" s="10" t="s">
        <v>262</v>
      </c>
      <c r="D119" s="8"/>
      <c r="E119" s="9" t="s">
        <v>263</v>
      </c>
      <c r="F119" s="9" t="s">
        <v>263</v>
      </c>
    </row>
    <row r="120">
      <c r="A120" s="5">
        <v>119.0</v>
      </c>
      <c r="B120" s="19" t="s">
        <v>264</v>
      </c>
      <c r="C120" s="10" t="s">
        <v>265</v>
      </c>
      <c r="D120" s="8"/>
      <c r="E120" s="9" t="s">
        <v>266</v>
      </c>
      <c r="F120" s="9" t="s">
        <v>266</v>
      </c>
    </row>
    <row r="121">
      <c r="A121" s="5">
        <v>120.0</v>
      </c>
      <c r="B121" s="19" t="s">
        <v>267</v>
      </c>
      <c r="C121" s="20" t="s">
        <v>268</v>
      </c>
      <c r="D121" s="8"/>
      <c r="E121" s="9" t="s">
        <v>269</v>
      </c>
      <c r="F121" s="9" t="s">
        <v>269</v>
      </c>
    </row>
    <row r="122">
      <c r="B122" s="21"/>
    </row>
    <row r="123">
      <c r="B123" s="21"/>
    </row>
    <row r="124">
      <c r="A124" s="22"/>
      <c r="B124" s="11"/>
      <c r="C124" s="23"/>
      <c r="D124" s="24"/>
    </row>
    <row r="125">
      <c r="A125" s="22"/>
      <c r="B125" s="11"/>
      <c r="C125" s="13"/>
      <c r="D125" s="24"/>
    </row>
    <row r="126">
      <c r="B126" s="21"/>
    </row>
    <row r="127">
      <c r="B127" s="21"/>
    </row>
    <row r="128">
      <c r="B128" s="21"/>
    </row>
    <row r="129">
      <c r="B129" s="21"/>
    </row>
    <row r="130">
      <c r="B130" s="21"/>
    </row>
    <row r="131">
      <c r="B131" s="21"/>
    </row>
    <row r="132">
      <c r="B132" s="21"/>
    </row>
    <row r="133">
      <c r="B133" s="21"/>
    </row>
    <row r="134">
      <c r="B134" s="21"/>
    </row>
    <row r="135">
      <c r="A135" s="22"/>
      <c r="B135" s="11"/>
      <c r="C135" s="13"/>
      <c r="D135" s="24"/>
    </row>
    <row r="136">
      <c r="A136" s="22"/>
      <c r="B136" s="11"/>
      <c r="C136" s="13"/>
      <c r="D136" s="24"/>
    </row>
    <row r="137">
      <c r="A137" s="22"/>
      <c r="B137" s="25"/>
      <c r="C137" s="13"/>
      <c r="D137" s="24"/>
    </row>
    <row r="138">
      <c r="A138" s="22"/>
      <c r="B138" s="25"/>
      <c r="C138" s="26"/>
      <c r="D138" s="24"/>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row r="999">
      <c r="B999" s="21"/>
    </row>
  </sheetData>
  <dataValidations>
    <dataValidation type="list" allowBlank="1" showErrorMessage="1" sqref="E110:F110">
      <formula1>"Full,Partial,None"</formula1>
    </dataValidation>
    <dataValidation type="list" allowBlank="1" showErrorMessage="1" sqref="E111:F111">
      <formula1>"Low,Medium,High"</formula1>
    </dataValidation>
    <dataValidation type="list" allowBlank="1" showErrorMessage="1" sqref="E104:F106 E108:F109">
      <formula1>"Yes,No"</formula1>
    </dataValidation>
    <dataValidation type="list" allowBlank="1" showErrorMessage="1" sqref="D114">
      <formula1>"Weekly,Monthly,Quarterly,Yearly"</formula1>
    </dataValidation>
    <dataValidation type="list" allowBlank="1" showErrorMessage="1" sqref="E4">
      <formula1>"New,Existing"</formula1>
    </dataValidation>
    <dataValidation type="list" allowBlank="1" showErrorMessage="1" sqref="D118">
      <formula1>"Never,Once,Occasionally,Regularly"</formula1>
    </dataValidation>
    <dataValidation type="list" allowBlank="1" showErrorMessage="1" sqref="D116">
      <formula1>"Buying milk,Processing,members,Other things"</formula1>
    </dataValidation>
    <dataValidation type="list" allowBlank="1" showErrorMessage="1" sqref="E98:F98">
      <formula1>"Timely,With Few Delays,Frequent Delays"</formula1>
    </dataValidation>
    <dataValidation type="list" allowBlank="1" showErrorMessage="1" sqref="D115">
      <formula1>"Decided among few,Sometimes,Mostly,Always"</formula1>
    </dataValidation>
    <dataValidation type="list" allowBlank="1" showErrorMessage="1" sqref="D12">
      <formula1>"Monthly,Quarterly,Anually"</formula1>
    </dataValidation>
    <dataValidation type="list" allowBlank="1" showErrorMessage="1" sqref="E96:F96">
      <formula1>"Never,Few Times,Frequent"</formula1>
    </dataValidation>
    <dataValidation type="list" allowBlank="1" showErrorMessage="1" sqref="D98">
      <formula1>"Timely,With Few Delays,Frequent Delays"</formula1>
    </dataValidation>
    <dataValidation type="list" allowBlank="1" showErrorMessage="1" sqref="D119">
      <formula1>"Only after implementation,Sometimes beforehand,Mostly beforehand,Always beforehand"</formula1>
    </dataValidation>
    <dataValidation type="list" allowBlank="1" showErrorMessage="1" sqref="D107">
      <formula1>"Standards and documents exist. मापदण्ड र दस्तावेज छन्,Standards exist, no documents मापदण्ड छन्, दस्तावेज छैन,No standards (मापदण्ड छैन) "</formula1>
    </dataValidation>
    <dataValidation type="list" allowBlank="1" showErrorMessage="1" sqref="E3">
      <formula1>"Milk Collection Only,Processing"</formula1>
    </dataValidation>
    <dataValidation type="list" allowBlank="1" showErrorMessage="1" sqref="E118:F118">
      <formula1>"Never,Once,Occasionally,Regularly"</formula1>
    </dataValidation>
    <dataValidation type="list" allowBlank="1" showErrorMessage="1" sqref="E103:F103">
      <formula1>"Qualified,Few,None"</formula1>
    </dataValidation>
    <dataValidation type="list" allowBlank="1" showErrorMessage="1" sqref="D112">
      <formula1>"Pass,Watch List,Substandard,Doubtful,Loss"</formula1>
    </dataValidation>
    <dataValidation type="list" allowBlank="1" showErrorMessage="1" sqref="D104:D106 D108:D109">
      <formula1>"Yes,No"</formula1>
    </dataValidation>
    <dataValidation type="list" allowBlank="1" showErrorMessage="1" sqref="E112:F112">
      <formula1>"Pass,Watch List,Substandard,Doubtful,Loss"</formula1>
    </dataValidation>
    <dataValidation type="list" allowBlank="1" showErrorMessage="1" sqref="E120:F120">
      <formula1>"Never,Sometimes,Frequently"</formula1>
    </dataValidation>
    <dataValidation type="list" allowBlank="1" showErrorMessage="1" sqref="E114:F114">
      <formula1>"Weekly,Monthly,Quarterly,Yearly"</formula1>
    </dataValidation>
    <dataValidation type="list" allowBlank="1" showErrorMessage="1" sqref="D120">
      <formula1>"Never,Sometimes,Frequently"</formula1>
    </dataValidation>
    <dataValidation type="list" allowBlank="1" showErrorMessage="1" sqref="E12:F12">
      <formula1>"Monthly,Quarterly,Anually"</formula1>
    </dataValidation>
    <dataValidation type="list" allowBlank="1" showErrorMessage="1" sqref="D102">
      <formula1>"Robust,Adequate,Weak"</formula1>
    </dataValidation>
    <dataValidation type="list" allowBlank="1" showErrorMessage="1" sqref="D96">
      <formula1>"Never,Few Times,Frequent"</formula1>
    </dataValidation>
    <dataValidation type="list" allowBlank="1" showErrorMessage="1" sqref="D110">
      <formula1>"Full,Partial,None"</formula1>
    </dataValidation>
    <dataValidation type="list" allowBlank="1" showErrorMessage="1" sqref="E119:F119">
      <formula1>"Only after implementation,Sometimes beforehand,Mostly beforehand,Always beforehand"</formula1>
    </dataValidation>
    <dataValidation type="list" allowBlank="1" showErrorMessage="1" sqref="D111">
      <formula1>"Low,Medium,High"</formula1>
    </dataValidation>
    <dataValidation type="list" allowBlank="1" showErrorMessage="1" sqref="D117">
      <formula1>"Hard,Sometimes,Mostly,Easily Found"</formula1>
    </dataValidation>
    <dataValidation type="list" allowBlank="1" showErrorMessage="1" sqref="E102:F102">
      <formula1>"Robust,Adequate,Weak"</formula1>
    </dataValidation>
    <dataValidation type="list" allowBlank="1" showErrorMessage="1" sqref="E115:F115">
      <formula1>"Decided among few,Sometimes,Mostly,Always"</formula1>
    </dataValidation>
    <dataValidation type="list" allowBlank="1" showErrorMessage="1" sqref="E117:F117">
      <formula1>"Hard,Sometimes,Mostly,Easily Found"</formula1>
    </dataValidation>
    <dataValidation type="list" allowBlank="1" showErrorMessage="1" sqref="D121">
      <formula1>"Nothing,Little Preparation,Normal,Proper Plan"</formula1>
    </dataValidation>
    <dataValidation type="list" allowBlank="1" showErrorMessage="1" sqref="E107:F107">
      <formula1>"Standards and documents exist. मापदण्ड र दस्तावेज छन्,Standards exist, no documents मापदण्ड छन्, दस्तावेज छैन,No standards (मापदण्ड छैन) "</formula1>
    </dataValidation>
    <dataValidation type="list" allowBlank="1" showErrorMessage="1" sqref="E121:F121">
      <formula1>"Nothing,Little Preparation,Normal,Proper Plan"</formula1>
    </dataValidation>
    <dataValidation type="list" allowBlank="1" showErrorMessage="1" sqref="E116:F116">
      <formula1>"Buying milk,Processing,members,Other things"</formula1>
    </dataValidation>
    <dataValidation type="list" allowBlank="1" showErrorMessage="1" sqref="D103">
      <formula1>"Qualified,Few,None"</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81.0"/>
    <col customWidth="1" min="3" max="3" width="14.0"/>
    <col customWidth="1" min="4" max="5" width="27.38"/>
  </cols>
  <sheetData>
    <row r="1">
      <c r="A1" s="27" t="s">
        <v>270</v>
      </c>
      <c r="B1" s="28"/>
      <c r="C1" s="27" t="s">
        <v>271</v>
      </c>
      <c r="D1" s="29" t="s">
        <v>3</v>
      </c>
      <c r="E1" s="30" t="s">
        <v>4</v>
      </c>
    </row>
    <row r="2">
      <c r="A2" s="31">
        <v>1.0</v>
      </c>
      <c r="B2" s="32" t="s">
        <v>272</v>
      </c>
      <c r="C2" s="33" t="s">
        <v>273</v>
      </c>
      <c r="D2" s="34" t="str">
        <f>Questions!D2</f>
        <v/>
      </c>
      <c r="E2" s="34" t="str">
        <f>Questions!E2</f>
        <v>ABC Cooperative</v>
      </c>
    </row>
    <row r="3">
      <c r="A3" s="27">
        <v>2.0</v>
      </c>
      <c r="B3" s="32" t="s">
        <v>274</v>
      </c>
      <c r="C3" s="35" t="s">
        <v>275</v>
      </c>
      <c r="D3" s="36" t="str">
        <f>Questions!D3</f>
        <v/>
      </c>
      <c r="E3" s="36" t="str">
        <f>Questions!E3</f>
        <v>Milk Collection Only</v>
      </c>
    </row>
    <row r="4">
      <c r="A4" s="27">
        <v>3.0</v>
      </c>
      <c r="B4" s="32" t="s">
        <v>276</v>
      </c>
      <c r="C4" s="35" t="s">
        <v>275</v>
      </c>
      <c r="D4" s="36" t="str">
        <f>Questions!D4</f>
        <v/>
      </c>
      <c r="E4" s="36" t="str">
        <f>Questions!E4</f>
        <v>New</v>
      </c>
    </row>
    <row r="5">
      <c r="A5" s="31">
        <v>4.0</v>
      </c>
      <c r="B5" s="32" t="s">
        <v>277</v>
      </c>
      <c r="C5" s="35" t="s">
        <v>278</v>
      </c>
      <c r="D5" s="36" t="str">
        <f>Questions!D7</f>
        <v/>
      </c>
      <c r="E5" s="36">
        <f>Questions!E7</f>
        <v>1500000</v>
      </c>
    </row>
    <row r="6">
      <c r="A6" s="27">
        <v>5.0</v>
      </c>
      <c r="B6" s="32" t="s">
        <v>279</v>
      </c>
      <c r="C6" s="35" t="s">
        <v>278</v>
      </c>
      <c r="D6" s="36" t="str">
        <f>Questions!D8</f>
        <v/>
      </c>
      <c r="E6" s="36">
        <f>Questions!E8</f>
        <v>200000</v>
      </c>
    </row>
    <row r="7">
      <c r="A7" s="27">
        <v>6.0</v>
      </c>
      <c r="B7" s="32" t="s">
        <v>280</v>
      </c>
      <c r="C7" s="35" t="s">
        <v>278</v>
      </c>
      <c r="D7" s="36" t="str">
        <f>Questions!D18</f>
        <v/>
      </c>
      <c r="E7" s="36">
        <f>Questions!E18</f>
        <v>30500000</v>
      </c>
    </row>
    <row r="8">
      <c r="A8" s="31">
        <v>7.0</v>
      </c>
      <c r="B8" s="32" t="s">
        <v>281</v>
      </c>
      <c r="C8" s="35" t="s">
        <v>278</v>
      </c>
      <c r="D8" s="36">
        <f>Questions!D18-SUM(Questions!D34:D37)-Questions!D45</f>
        <v>0</v>
      </c>
      <c r="E8" s="36">
        <f>Questions!E18-SUM(Questions!E34:E37)-Questions!E45</f>
        <v>21600000</v>
      </c>
    </row>
    <row r="9">
      <c r="A9" s="27">
        <v>8.0</v>
      </c>
      <c r="B9" s="32" t="s">
        <v>282</v>
      </c>
      <c r="C9" s="35" t="s">
        <v>278</v>
      </c>
      <c r="D9" s="36" t="str">
        <f>Questions!D68</f>
        <v/>
      </c>
      <c r="E9" s="36">
        <f>Questions!E68</f>
        <v>500000</v>
      </c>
    </row>
    <row r="10">
      <c r="A10" s="27">
        <v>9.0</v>
      </c>
      <c r="B10" s="32" t="s">
        <v>283</v>
      </c>
      <c r="C10" s="35" t="s">
        <v>278</v>
      </c>
      <c r="D10" s="36">
        <f>Questions!D9*Questions!D10</f>
        <v>0</v>
      </c>
      <c r="E10" s="36">
        <f>Questions!E9*Questions!E10</f>
        <v>20400000</v>
      </c>
    </row>
    <row r="11">
      <c r="A11" s="31">
        <v>10.0</v>
      </c>
      <c r="B11" s="32" t="s">
        <v>284</v>
      </c>
      <c r="C11" s="35" t="s">
        <v>278</v>
      </c>
      <c r="D11" s="36">
        <f>Questions!D56+Questions!D63</f>
        <v>0</v>
      </c>
      <c r="E11" s="36">
        <f>Questions!E56+Questions!E63</f>
        <v>31000000</v>
      </c>
    </row>
    <row r="12">
      <c r="A12" s="27">
        <v>11.0</v>
      </c>
      <c r="B12" s="32" t="s">
        <v>285</v>
      </c>
      <c r="C12" s="35" t="s">
        <v>278</v>
      </c>
      <c r="D12" s="36">
        <f>Questions!D69+Questions!D72</f>
        <v>0</v>
      </c>
      <c r="E12" s="36">
        <f>Questions!E69+Questions!E72</f>
        <v>6000000</v>
      </c>
    </row>
    <row r="13">
      <c r="A13" s="27">
        <v>12.0</v>
      </c>
      <c r="B13" s="32" t="s">
        <v>286</v>
      </c>
      <c r="C13" s="35" t="s">
        <v>278</v>
      </c>
      <c r="D13" s="36" t="str">
        <f>Questions!D56</f>
        <v/>
      </c>
      <c r="E13" s="36">
        <f>Questions!E56</f>
        <v>15000000</v>
      </c>
    </row>
    <row r="14">
      <c r="A14" s="31">
        <v>13.0</v>
      </c>
      <c r="B14" s="32" t="s">
        <v>287</v>
      </c>
      <c r="C14" s="35" t="s">
        <v>278</v>
      </c>
      <c r="D14" s="36" t="str">
        <f>Questions!D69</f>
        <v/>
      </c>
      <c r="E14" s="36">
        <f>Questions!E69</f>
        <v>4500000</v>
      </c>
    </row>
    <row r="15">
      <c r="A15" s="27">
        <v>14.0</v>
      </c>
      <c r="B15" s="32" t="s">
        <v>288</v>
      </c>
      <c r="C15" s="35" t="s">
        <v>278</v>
      </c>
      <c r="D15" s="36">
        <f>Questions!D66+Questions!D70</f>
        <v>0</v>
      </c>
      <c r="E15" s="36">
        <f>Questions!E66+Questions!E70</f>
        <v>3000000</v>
      </c>
    </row>
    <row r="16">
      <c r="A16" s="27">
        <v>15.0</v>
      </c>
      <c r="B16" s="32" t="s">
        <v>289</v>
      </c>
      <c r="C16" s="35" t="s">
        <v>278</v>
      </c>
      <c r="D16" s="36" t="str">
        <f>Questions!D77</f>
        <v/>
      </c>
      <c r="E16" s="36">
        <f>Questions!E77</f>
        <v>5500000</v>
      </c>
    </row>
    <row r="17">
      <c r="A17" s="31">
        <v>16.0</v>
      </c>
      <c r="B17" s="32" t="s">
        <v>290</v>
      </c>
      <c r="C17" s="35" t="s">
        <v>278</v>
      </c>
      <c r="D17" s="36" t="str">
        <f>Questions!D17</f>
        <v/>
      </c>
      <c r="E17" s="36">
        <f>Questions!E17</f>
        <v>500000</v>
      </c>
    </row>
    <row r="18">
      <c r="A18" s="27">
        <v>17.0</v>
      </c>
      <c r="B18" s="32" t="s">
        <v>291</v>
      </c>
      <c r="C18" s="35" t="s">
        <v>278</v>
      </c>
      <c r="D18" s="36" t="str">
        <f>Questions!D45</f>
        <v/>
      </c>
      <c r="E18" s="36">
        <f>Questions!E45</f>
        <v>5200000</v>
      </c>
    </row>
    <row r="19">
      <c r="A19" s="27">
        <v>18.0</v>
      </c>
      <c r="B19" s="32" t="s">
        <v>292</v>
      </c>
      <c r="C19" s="35" t="s">
        <v>278</v>
      </c>
      <c r="D19" s="36" t="str">
        <f>Questions!D53</f>
        <v/>
      </c>
      <c r="E19" s="36">
        <f>Questions!E53</f>
        <v>5500000</v>
      </c>
    </row>
    <row r="20">
      <c r="A20" s="31">
        <v>19.0</v>
      </c>
      <c r="B20" s="32" t="s">
        <v>293</v>
      </c>
      <c r="C20" s="35" t="s">
        <v>278</v>
      </c>
      <c r="D20" s="36">
        <f>SUM(Questions!D34:D37)</f>
        <v>0</v>
      </c>
      <c r="E20" s="36">
        <f>SUM(Questions!E34:E37)</f>
        <v>3700000</v>
      </c>
    </row>
    <row r="21">
      <c r="A21" s="27">
        <v>20.0</v>
      </c>
      <c r="B21" s="32" t="s">
        <v>294</v>
      </c>
      <c r="C21" s="35" t="s">
        <v>278</v>
      </c>
      <c r="D21" s="36" t="str">
        <f>Questions!D52</f>
        <v/>
      </c>
      <c r="E21" s="36">
        <f>Questions!E52</f>
        <v>3500000</v>
      </c>
    </row>
    <row r="22">
      <c r="A22" s="27">
        <v>21.0</v>
      </c>
      <c r="B22" s="32" t="s">
        <v>295</v>
      </c>
      <c r="C22" s="35" t="s">
        <v>278</v>
      </c>
      <c r="D22" s="36" t="str">
        <f>Questions!D82</f>
        <v/>
      </c>
      <c r="E22" s="36">
        <f>Questions!E82</f>
        <v>24166.66667</v>
      </c>
    </row>
    <row r="23">
      <c r="A23" s="31">
        <v>22.0</v>
      </c>
      <c r="B23" s="32" t="s">
        <v>296</v>
      </c>
      <c r="C23" s="35" t="s">
        <v>278</v>
      </c>
      <c r="D23" s="36" t="str">
        <f>Questions!D83</f>
        <v/>
      </c>
      <c r="E23" s="36">
        <f>Questions!E83</f>
        <v>20000</v>
      </c>
    </row>
    <row r="24">
      <c r="A24" s="27">
        <v>23.0</v>
      </c>
      <c r="B24" s="32" t="s">
        <v>297</v>
      </c>
      <c r="C24" s="35" t="s">
        <v>278</v>
      </c>
      <c r="D24" s="36" t="str">
        <f>Questions!D78</f>
        <v/>
      </c>
      <c r="E24" s="36">
        <f>Questions!E78</f>
        <v>310000</v>
      </c>
    </row>
    <row r="25">
      <c r="A25" s="27">
        <v>24.0</v>
      </c>
      <c r="B25" s="32" t="s">
        <v>298</v>
      </c>
      <c r="C25" s="35" t="s">
        <v>278</v>
      </c>
      <c r="D25" s="36">
        <f>Questions!D79+Questions!D80</f>
        <v>0</v>
      </c>
      <c r="E25" s="36">
        <f>Questions!E79+Questions!E80</f>
        <v>20000</v>
      </c>
    </row>
    <row r="26">
      <c r="A26" s="31">
        <v>25.0</v>
      </c>
      <c r="B26" s="32" t="s">
        <v>299</v>
      </c>
      <c r="C26" s="35" t="s">
        <v>278</v>
      </c>
      <c r="D26" s="36">
        <f>Questions!D78-Questions!D79</f>
        <v>0</v>
      </c>
      <c r="E26" s="36">
        <f>Questions!E78-Questions!E79</f>
        <v>300000</v>
      </c>
    </row>
    <row r="27">
      <c r="A27" s="27">
        <v>26.0</v>
      </c>
      <c r="B27" s="32" t="s">
        <v>300</v>
      </c>
      <c r="C27" s="35" t="s">
        <v>278</v>
      </c>
      <c r="D27" s="36" t="str">
        <f>Questions!D16</f>
        <v/>
      </c>
      <c r="E27" s="36">
        <f>Questions!E16</f>
        <v>30000000</v>
      </c>
    </row>
    <row r="28">
      <c r="A28" s="27">
        <v>27.0</v>
      </c>
      <c r="B28" s="32" t="s">
        <v>301</v>
      </c>
      <c r="C28" s="35" t="s">
        <v>278</v>
      </c>
      <c r="D28" s="36" t="str">
        <f>Questions!D46</f>
        <v/>
      </c>
      <c r="E28" s="36">
        <f>Questions!E46</f>
        <v>433333.3333</v>
      </c>
    </row>
    <row r="29">
      <c r="A29" s="31">
        <v>28.0</v>
      </c>
      <c r="B29" s="32" t="s">
        <v>302</v>
      </c>
      <c r="C29" s="35" t="s">
        <v>278</v>
      </c>
      <c r="D29" s="36" t="str">
        <f>Questions!D93</f>
        <v/>
      </c>
      <c r="E29" s="36">
        <f>Questions!E93</f>
        <v>15000000</v>
      </c>
    </row>
    <row r="30">
      <c r="A30" s="27">
        <v>29.0</v>
      </c>
      <c r="B30" s="32" t="s">
        <v>303</v>
      </c>
      <c r="C30" s="35" t="s">
        <v>278</v>
      </c>
      <c r="D30" s="36" t="str">
        <f>Questions!D94</f>
        <v/>
      </c>
      <c r="E30" s="36">
        <f>Questions!E94</f>
        <v>2500000</v>
      </c>
    </row>
    <row r="31">
      <c r="A31" s="27">
        <v>30.0</v>
      </c>
      <c r="B31" s="32" t="s">
        <v>304</v>
      </c>
      <c r="C31" s="35" t="s">
        <v>278</v>
      </c>
      <c r="D31" s="36" t="str">
        <f>Questions!D19</f>
        <v/>
      </c>
      <c r="E31" s="36">
        <f>Questions!E19</f>
        <v>15000000</v>
      </c>
    </row>
    <row r="32">
      <c r="A32" s="31">
        <v>31.0</v>
      </c>
      <c r="B32" s="32" t="s">
        <v>305</v>
      </c>
      <c r="C32" s="35" t="s">
        <v>278</v>
      </c>
      <c r="D32" s="36" t="str">
        <f>Questions!D18</f>
        <v/>
      </c>
      <c r="E32" s="36">
        <f>Questions!E18</f>
        <v>30500000</v>
      </c>
    </row>
    <row r="33">
      <c r="A33" s="27">
        <v>32.0</v>
      </c>
      <c r="B33" s="32" t="s">
        <v>306</v>
      </c>
      <c r="C33" s="35" t="s">
        <v>278</v>
      </c>
      <c r="D33" s="36" t="str">
        <f>Questions!D101</f>
        <v/>
      </c>
      <c r="E33" s="36">
        <f>Questions!E101</f>
        <v>8</v>
      </c>
    </row>
    <row r="34">
      <c r="A34" s="27">
        <v>33.0</v>
      </c>
      <c r="B34" s="32" t="s">
        <v>307</v>
      </c>
      <c r="C34" s="35" t="s">
        <v>275</v>
      </c>
      <c r="D34" s="36" t="str">
        <f>Questions!D102</f>
        <v/>
      </c>
      <c r="E34" s="36" t="str">
        <f>Questions!E102</f>
        <v>Robust</v>
      </c>
    </row>
    <row r="35">
      <c r="A35" s="31">
        <v>34.0</v>
      </c>
      <c r="B35" s="32" t="s">
        <v>308</v>
      </c>
      <c r="C35" s="35" t="s">
        <v>275</v>
      </c>
      <c r="D35" s="36" t="str">
        <f>Questions!D103</f>
        <v/>
      </c>
      <c r="E35" s="36" t="str">
        <f>Questions!E103</f>
        <v>Few</v>
      </c>
    </row>
    <row r="36">
      <c r="A36" s="27">
        <v>35.0</v>
      </c>
      <c r="B36" s="32" t="s">
        <v>309</v>
      </c>
      <c r="C36" s="35" t="s">
        <v>275</v>
      </c>
      <c r="D36" s="36" t="str">
        <f>Questions!D104</f>
        <v/>
      </c>
      <c r="E36" s="36" t="str">
        <f>Questions!E104</f>
        <v>Yes</v>
      </c>
    </row>
    <row r="37">
      <c r="A37" s="27">
        <v>36.0</v>
      </c>
      <c r="B37" s="32" t="s">
        <v>310</v>
      </c>
      <c r="C37" s="35" t="s">
        <v>275</v>
      </c>
      <c r="D37" s="36" t="str">
        <f>IF(Questions!D92&gt;325,"High",IF(Questions!D92&gt;300,"Medium","Low"))</f>
        <v>Low</v>
      </c>
      <c r="E37" s="36" t="str">
        <f>IF(Questions!E92&gt;325,"High",IF(Questions!E92&gt;300,"Medium","Low"))</f>
        <v>High</v>
      </c>
    </row>
    <row r="38">
      <c r="A38" s="31">
        <v>37.0</v>
      </c>
      <c r="B38" s="32" t="s">
        <v>311</v>
      </c>
      <c r="C38" s="35" t="s">
        <v>275</v>
      </c>
      <c r="D38" s="36" t="str">
        <f>Questions!D105</f>
        <v/>
      </c>
      <c r="E38" s="36" t="str">
        <f>Questions!E105</f>
        <v>Yes</v>
      </c>
    </row>
    <row r="39">
      <c r="A39" s="27">
        <v>38.0</v>
      </c>
      <c r="B39" s="32" t="s">
        <v>312</v>
      </c>
      <c r="C39" s="35" t="s">
        <v>275</v>
      </c>
      <c r="D39" s="36" t="str">
        <f>Questions!D106</f>
        <v/>
      </c>
      <c r="E39" s="36" t="str">
        <f>Questions!E106</f>
        <v>Yes</v>
      </c>
    </row>
    <row r="40">
      <c r="A40" s="27">
        <v>39.0</v>
      </c>
      <c r="B40" s="37" t="s">
        <v>227</v>
      </c>
      <c r="C40" s="35" t="s">
        <v>275</v>
      </c>
      <c r="D40" s="36" t="str">
        <f>Questions!D107</f>
        <v/>
      </c>
      <c r="E40" s="36" t="str">
        <f>Questions!E107</f>
        <v>Standards and documents exist. मापदण्ड र दस्तावेज छन्</v>
      </c>
    </row>
    <row r="41">
      <c r="A41" s="31">
        <v>40.0</v>
      </c>
      <c r="B41" s="32" t="s">
        <v>313</v>
      </c>
      <c r="C41" s="35" t="s">
        <v>278</v>
      </c>
      <c r="D41" s="36" t="str">
        <f>Questions!D99</f>
        <v/>
      </c>
      <c r="E41" s="36">
        <f>Questions!E99</f>
        <v>4500000</v>
      </c>
    </row>
    <row r="42">
      <c r="A42" s="27">
        <v>41.0</v>
      </c>
      <c r="B42" s="32" t="s">
        <v>314</v>
      </c>
      <c r="C42" s="35" t="s">
        <v>278</v>
      </c>
      <c r="D42" s="36" t="str">
        <f>Questions!D100</f>
        <v/>
      </c>
      <c r="E42" s="36">
        <f>Questions!E100</f>
        <v>4000000</v>
      </c>
    </row>
    <row r="43">
      <c r="A43" s="27">
        <v>42.0</v>
      </c>
      <c r="B43" s="32" t="s">
        <v>315</v>
      </c>
      <c r="C43" s="35" t="s">
        <v>275</v>
      </c>
      <c r="D43" s="36" t="str">
        <f>Questions!D98</f>
        <v/>
      </c>
      <c r="E43" s="36" t="str">
        <f>Questions!E98</f>
        <v>Timely</v>
      </c>
    </row>
    <row r="44">
      <c r="A44" s="31">
        <v>43.0</v>
      </c>
      <c r="B44" s="32" t="s">
        <v>316</v>
      </c>
      <c r="C44" s="35" t="s">
        <v>278</v>
      </c>
      <c r="D44" s="36" t="str">
        <f>Questions!D97</f>
        <v/>
      </c>
      <c r="E44" s="36">
        <f>Questions!E97</f>
        <v>15</v>
      </c>
    </row>
    <row r="45">
      <c r="A45" s="27">
        <v>44.0</v>
      </c>
      <c r="B45" s="32" t="s">
        <v>317</v>
      </c>
      <c r="C45" s="35" t="s">
        <v>275</v>
      </c>
      <c r="D45" s="36" t="str">
        <f>Questions!D96</f>
        <v/>
      </c>
      <c r="E45" s="36" t="str">
        <f>Questions!E96</f>
        <v>Few Times</v>
      </c>
    </row>
    <row r="46">
      <c r="A46" s="27">
        <v>45.0</v>
      </c>
      <c r="B46" s="32" t="s">
        <v>318</v>
      </c>
      <c r="C46" s="35" t="s">
        <v>278</v>
      </c>
      <c r="D46" s="36" t="str">
        <f>Questions!D87</f>
        <v/>
      </c>
      <c r="E46" s="36">
        <f>Questions!E87</f>
        <v>125000</v>
      </c>
    </row>
    <row r="47">
      <c r="A47" s="31">
        <v>46.0</v>
      </c>
      <c r="B47" s="32" t="s">
        <v>319</v>
      </c>
      <c r="C47" s="35" t="s">
        <v>278</v>
      </c>
      <c r="D47" s="36" t="str">
        <f>Questions!D78</f>
        <v/>
      </c>
      <c r="E47" s="36">
        <f>Questions!E78</f>
        <v>310000</v>
      </c>
    </row>
    <row r="48">
      <c r="A48" s="27">
        <v>47.0</v>
      </c>
      <c r="B48" s="32" t="s">
        <v>320</v>
      </c>
      <c r="C48" s="35" t="s">
        <v>278</v>
      </c>
      <c r="D48" s="36" t="str">
        <f>Questions!D84</f>
        <v/>
      </c>
      <c r="E48" s="36">
        <f>Questions!E84</f>
        <v>30000</v>
      </c>
    </row>
    <row r="49">
      <c r="A49" s="27">
        <v>48.0</v>
      </c>
      <c r="B49" s="32" t="s">
        <v>321</v>
      </c>
      <c r="C49" s="35" t="s">
        <v>278</v>
      </c>
      <c r="D49" s="36" t="str">
        <f>Questions!D83</f>
        <v/>
      </c>
      <c r="E49" s="36">
        <f>Questions!E83</f>
        <v>20000</v>
      </c>
    </row>
    <row r="50">
      <c r="A50" s="31">
        <v>49.0</v>
      </c>
      <c r="B50" s="32" t="s">
        <v>322</v>
      </c>
      <c r="C50" s="35" t="s">
        <v>323</v>
      </c>
      <c r="D50" s="36" t="str">
        <f>Questions!D82</f>
        <v/>
      </c>
      <c r="E50" s="36">
        <f>Questions!E82</f>
        <v>24166.66667</v>
      </c>
    </row>
    <row r="51">
      <c r="A51" s="27">
        <v>50.0</v>
      </c>
      <c r="B51" s="32" t="s">
        <v>324</v>
      </c>
      <c r="C51" s="35" t="s">
        <v>278</v>
      </c>
      <c r="D51" s="36" t="str">
        <f>Questions!D90</f>
        <v/>
      </c>
      <c r="E51" s="36">
        <f>Questions!E90</f>
        <v>365</v>
      </c>
    </row>
    <row r="52">
      <c r="A52" s="27">
        <v>51.0</v>
      </c>
      <c r="B52" s="32" t="s">
        <v>325</v>
      </c>
      <c r="C52" s="35" t="s">
        <v>278</v>
      </c>
      <c r="D52" s="36" t="str">
        <f>Questions!D92</f>
        <v/>
      </c>
      <c r="E52" s="36">
        <f>Questions!E92</f>
        <v>326</v>
      </c>
    </row>
    <row r="53">
      <c r="A53" s="31">
        <v>52.0</v>
      </c>
      <c r="B53" s="32" t="s">
        <v>326</v>
      </c>
      <c r="C53" s="35" t="s">
        <v>278</v>
      </c>
      <c r="D53" s="36" t="str">
        <f>Questions!D81</f>
        <v/>
      </c>
      <c r="E53" s="36">
        <f>Questions!E81</f>
        <v>290000</v>
      </c>
    </row>
    <row r="54">
      <c r="A54" s="27">
        <v>53.0</v>
      </c>
      <c r="B54" s="32" t="s">
        <v>327</v>
      </c>
      <c r="C54" s="35" t="s">
        <v>275</v>
      </c>
      <c r="D54" s="36" t="str">
        <f>Questions!D108</f>
        <v/>
      </c>
      <c r="E54" s="36" t="str">
        <f>Questions!E108</f>
        <v>Yes</v>
      </c>
    </row>
    <row r="55">
      <c r="A55" s="27">
        <v>54.0</v>
      </c>
      <c r="B55" s="32" t="s">
        <v>328</v>
      </c>
      <c r="C55" s="35" t="s">
        <v>275</v>
      </c>
      <c r="D55" s="36" t="str">
        <f>Questions!D109</f>
        <v/>
      </c>
      <c r="E55" s="36" t="str">
        <f>Questions!E109</f>
        <v>Yes</v>
      </c>
    </row>
    <row r="56">
      <c r="A56" s="31">
        <v>55.0</v>
      </c>
      <c r="B56" s="32" t="s">
        <v>329</v>
      </c>
      <c r="C56" s="35" t="s">
        <v>275</v>
      </c>
      <c r="D56" s="36" t="str">
        <f>Questions!D110</f>
        <v/>
      </c>
      <c r="E56" s="36" t="str">
        <f>Questions!E110</f>
        <v>Partial</v>
      </c>
    </row>
    <row r="57">
      <c r="A57" s="27">
        <v>56.0</v>
      </c>
      <c r="B57" s="32" t="s">
        <v>330</v>
      </c>
      <c r="C57" s="35" t="s">
        <v>275</v>
      </c>
      <c r="D57" s="36" t="str">
        <f>Questions!D111</f>
        <v/>
      </c>
      <c r="E57" s="36" t="str">
        <f>Questions!E111</f>
        <v>Low</v>
      </c>
    </row>
    <row r="58">
      <c r="A58" s="27">
        <v>57.0</v>
      </c>
      <c r="B58" s="32" t="s">
        <v>331</v>
      </c>
      <c r="C58" s="35" t="s">
        <v>275</v>
      </c>
      <c r="D58" s="36" t="str">
        <f>Questions!D112</f>
        <v/>
      </c>
      <c r="E58" s="36" t="str">
        <f>Questions!E112</f>
        <v>Pass</v>
      </c>
    </row>
    <row r="59">
      <c r="A59" s="31">
        <v>58.0</v>
      </c>
      <c r="B59" s="32" t="s">
        <v>332</v>
      </c>
      <c r="C59" s="35" t="s">
        <v>275</v>
      </c>
      <c r="D59" s="36" t="str">
        <f>Questions!D113</f>
        <v/>
      </c>
      <c r="E59" s="36">
        <f>Questions!E113</f>
        <v>5</v>
      </c>
    </row>
    <row r="60">
      <c r="A60" s="27">
        <v>59.0</v>
      </c>
      <c r="B60" s="32" t="s">
        <v>333</v>
      </c>
      <c r="C60" s="35" t="s">
        <v>278</v>
      </c>
      <c r="D60" s="36" t="str">
        <f>Questions!D20</f>
        <v/>
      </c>
      <c r="E60" s="36">
        <f>Questions!E20</f>
        <v>300</v>
      </c>
    </row>
    <row r="61">
      <c r="A61" s="27">
        <v>60.0</v>
      </c>
      <c r="B61" s="32" t="s">
        <v>334</v>
      </c>
      <c r="C61" s="35" t="s">
        <v>278</v>
      </c>
      <c r="D61" s="36" t="str">
        <f>Questions!D21</f>
        <v/>
      </c>
      <c r="E61" s="36">
        <f>Questions!E21</f>
        <v>8000000</v>
      </c>
    </row>
    <row r="62">
      <c r="A62" s="31">
        <v>61.0</v>
      </c>
      <c r="B62" s="32" t="s">
        <v>335</v>
      </c>
      <c r="C62" s="35" t="s">
        <v>278</v>
      </c>
      <c r="D62" s="36" t="str">
        <f>Questions!D22</f>
        <v/>
      </c>
      <c r="E62" s="36">
        <f>Questions!E22</f>
        <v>2000000</v>
      </c>
    </row>
    <row r="63">
      <c r="A63" s="27">
        <v>62.0</v>
      </c>
      <c r="B63" s="32" t="s">
        <v>336</v>
      </c>
      <c r="C63" s="35" t="s">
        <v>278</v>
      </c>
      <c r="D63" s="36" t="str">
        <f>Questions!D24</f>
        <v/>
      </c>
      <c r="E63" s="36">
        <f>Questions!E24</f>
        <v>120</v>
      </c>
    </row>
    <row r="64">
      <c r="A64" s="27">
        <v>63.0</v>
      </c>
      <c r="B64" s="32" t="s">
        <v>337</v>
      </c>
      <c r="C64" s="35" t="s">
        <v>278</v>
      </c>
      <c r="D64" s="36" t="str">
        <f>Questions!D26</f>
        <v/>
      </c>
      <c r="E64" s="36">
        <f>Questions!E26</f>
        <v>30</v>
      </c>
    </row>
    <row r="65">
      <c r="A65" s="31">
        <v>64.0</v>
      </c>
      <c r="B65" s="32" t="s">
        <v>338</v>
      </c>
      <c r="C65" s="35" t="s">
        <v>278</v>
      </c>
      <c r="D65" s="36" t="str">
        <f>Questions!D28</f>
        <v/>
      </c>
      <c r="E65" s="36">
        <f>Questions!E28</f>
        <v>150</v>
      </c>
    </row>
    <row r="66">
      <c r="A66" s="27">
        <v>65.0</v>
      </c>
      <c r="B66" s="32" t="s">
        <v>339</v>
      </c>
      <c r="C66" s="35" t="s">
        <v>278</v>
      </c>
      <c r="D66" s="36" t="str">
        <f>Questions!D29</f>
        <v/>
      </c>
      <c r="E66" s="36">
        <f>Questions!E29</f>
        <v>35</v>
      </c>
    </row>
    <row r="67">
      <c r="A67" s="27">
        <v>66.0</v>
      </c>
      <c r="B67" s="32" t="s">
        <v>340</v>
      </c>
      <c r="C67" s="35" t="s">
        <v>278</v>
      </c>
      <c r="D67" s="38" t="str">
        <f>(Questions!D33/Questions!D20)</f>
        <v>#DIV/0!</v>
      </c>
      <c r="E67" s="38">
        <f>(Questions!E33/Questions!E20)</f>
        <v>0.6666666667</v>
      </c>
    </row>
    <row r="68">
      <c r="A68" s="31">
        <v>67.0</v>
      </c>
      <c r="B68" s="32" t="s">
        <v>341</v>
      </c>
      <c r="C68" s="35" t="s">
        <v>275</v>
      </c>
      <c r="D68" s="36" t="str">
        <f>Questions!D114</f>
        <v/>
      </c>
      <c r="E68" s="36" t="str">
        <f>Questions!E114</f>
        <v>Weekly</v>
      </c>
    </row>
    <row r="69">
      <c r="A69" s="27">
        <v>68.0</v>
      </c>
      <c r="B69" s="32" t="s">
        <v>342</v>
      </c>
      <c r="C69" s="35" t="s">
        <v>275</v>
      </c>
      <c r="D69" s="36" t="str">
        <f>Questions!D115</f>
        <v/>
      </c>
      <c r="E69" s="36" t="str">
        <f>Questions!E115</f>
        <v>Always</v>
      </c>
    </row>
    <row r="70">
      <c r="A70" s="27">
        <v>69.0</v>
      </c>
      <c r="B70" s="32" t="s">
        <v>343</v>
      </c>
      <c r="C70" s="35" t="s">
        <v>275</v>
      </c>
      <c r="D70" s="36" t="str">
        <f>Questions!D116</f>
        <v/>
      </c>
      <c r="E70" s="36" t="str">
        <f>Questions!E116</f>
        <v>Buying milk</v>
      </c>
    </row>
    <row r="71">
      <c r="A71" s="31">
        <v>70.0</v>
      </c>
      <c r="B71" s="32" t="s">
        <v>344</v>
      </c>
      <c r="C71" s="35" t="s">
        <v>275</v>
      </c>
      <c r="D71" s="36" t="str">
        <f>Questions!D117</f>
        <v/>
      </c>
      <c r="E71" s="36" t="str">
        <f>Questions!E117</f>
        <v>Easily Found</v>
      </c>
    </row>
    <row r="72">
      <c r="A72" s="27">
        <v>71.0</v>
      </c>
      <c r="B72" s="32" t="s">
        <v>345</v>
      </c>
      <c r="C72" s="35" t="s">
        <v>275</v>
      </c>
      <c r="D72" s="36" t="str">
        <f>Questions!D118</f>
        <v/>
      </c>
      <c r="E72" s="36" t="str">
        <f>Questions!E118</f>
        <v>Regularly</v>
      </c>
    </row>
    <row r="73">
      <c r="A73" s="27">
        <v>72.0</v>
      </c>
      <c r="B73" s="32" t="s">
        <v>346</v>
      </c>
      <c r="C73" s="35" t="s">
        <v>275</v>
      </c>
      <c r="D73" s="36" t="str">
        <f>Questions!D119</f>
        <v/>
      </c>
      <c r="E73" s="36" t="str">
        <f>Questions!E119</f>
        <v>Always beforehand</v>
      </c>
    </row>
    <row r="74">
      <c r="A74" s="31">
        <v>73.0</v>
      </c>
      <c r="B74" s="32" t="s">
        <v>347</v>
      </c>
      <c r="C74" s="35" t="s">
        <v>273</v>
      </c>
      <c r="D74" s="36" t="str">
        <f>Questions!D120</f>
        <v/>
      </c>
      <c r="E74" s="36" t="str">
        <f>Questions!E120</f>
        <v>Frequently</v>
      </c>
    </row>
    <row r="75">
      <c r="A75" s="27">
        <v>74.0</v>
      </c>
      <c r="B75" s="32" t="s">
        <v>348</v>
      </c>
      <c r="C75" s="35" t="s">
        <v>273</v>
      </c>
      <c r="D75" s="36" t="str">
        <f>Questions!D121</f>
        <v/>
      </c>
      <c r="E75" s="36" t="str">
        <f>Questions!E121</f>
        <v>Proper Plan</v>
      </c>
    </row>
  </sheetData>
  <dataValidations>
    <dataValidation type="list" allowBlank="1" showErrorMessage="1" sqref="D58:E58">
      <formula1>"Pass,Watch List,Substandard,Doubtful,Loss"</formula1>
    </dataValidation>
    <dataValidation type="list" allowBlank="1" showErrorMessage="1" sqref="D4:E4">
      <formula1>"New,Existing"</formula1>
    </dataValidation>
    <dataValidation type="list" allowBlank="1" showErrorMessage="1" sqref="D37:E37">
      <formula1>"High,Medium,Low"</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40.63"/>
    <col customWidth="1" min="3" max="3" width="16.75"/>
    <col customWidth="1" min="4" max="4" width="45.13"/>
  </cols>
  <sheetData>
    <row r="1">
      <c r="A1" s="39" t="s">
        <v>0</v>
      </c>
      <c r="B1" s="40" t="s">
        <v>349</v>
      </c>
      <c r="C1" s="41" t="s">
        <v>350</v>
      </c>
      <c r="D1" s="41" t="s">
        <v>4</v>
      </c>
    </row>
    <row r="2">
      <c r="A2" s="42">
        <v>1.0</v>
      </c>
      <c r="B2" s="39" t="s">
        <v>351</v>
      </c>
      <c r="C2" s="43" t="str">
        <f>Data!D8/(Data!D9+Data!D10)</f>
        <v>#DIV/0!</v>
      </c>
      <c r="D2" s="43">
        <f>Data!E8/(Data!E9+Data!E10)</f>
        <v>1.033492823</v>
      </c>
    </row>
    <row r="3">
      <c r="A3" s="42">
        <v>2.0</v>
      </c>
      <c r="B3" s="39" t="s">
        <v>352</v>
      </c>
      <c r="C3" s="43" t="str">
        <f>Data!D41/Data!D28</f>
        <v>#DIV/0!</v>
      </c>
      <c r="D3" s="43">
        <f>Data!E41/Data!E28</f>
        <v>10.38461538</v>
      </c>
    </row>
    <row r="4">
      <c r="A4" s="42">
        <v>3.0</v>
      </c>
      <c r="B4" s="39" t="s">
        <v>353</v>
      </c>
      <c r="C4" s="43" t="str">
        <f>(Data!D19/Data!D20)*365</f>
        <v>#DIV/0!</v>
      </c>
      <c r="D4" s="43">
        <f>(Data!E19/Data!E20)*365</f>
        <v>542.5675676</v>
      </c>
    </row>
    <row r="5">
      <c r="A5" s="42">
        <v>4.0</v>
      </c>
      <c r="B5" s="39" t="s">
        <v>354</v>
      </c>
      <c r="C5" s="43" t="str">
        <f>(Data!D21/Data!D7)*365</f>
        <v>#DIV/0!</v>
      </c>
      <c r="D5" s="43">
        <f>(Data!E21/Data!E7)*365</f>
        <v>41.8852459</v>
      </c>
    </row>
    <row r="6">
      <c r="A6" s="42">
        <v>5.0</v>
      </c>
      <c r="B6" s="39" t="s">
        <v>355</v>
      </c>
      <c r="C6" s="43" t="str">
        <f>(Data!D23/Data!D22)*100</f>
        <v>#DIV/0!</v>
      </c>
      <c r="D6" s="43">
        <f>(Data!E23/Data!E22)*100</f>
        <v>82.75862069</v>
      </c>
    </row>
    <row r="7">
      <c r="A7" s="42">
        <v>6.0</v>
      </c>
      <c r="B7" s="39" t="s">
        <v>356</v>
      </c>
      <c r="C7" s="43">
        <f>(Data!D52/365)*100</f>
        <v>0</v>
      </c>
      <c r="D7" s="43">
        <f>(Data!E52/365)*100</f>
        <v>89.31506849</v>
      </c>
    </row>
    <row r="8">
      <c r="A8" s="42">
        <v>7.0</v>
      </c>
      <c r="B8" s="39" t="s">
        <v>357</v>
      </c>
      <c r="C8" s="43" t="str">
        <f>(Data!D25/Data!D24)*100</f>
        <v>#DIV/0!</v>
      </c>
      <c r="D8" s="43">
        <f>(Data!E25/Data!E24)*100</f>
        <v>6.451612903</v>
      </c>
    </row>
    <row r="9">
      <c r="A9" s="42">
        <v>8.0</v>
      </c>
      <c r="B9" s="39" t="s">
        <v>358</v>
      </c>
      <c r="C9" s="43" t="str">
        <f>(Data!D25/Data!D26)*100</f>
        <v>#DIV/0!</v>
      </c>
      <c r="D9" s="43">
        <f>(Data!E25/Data!E26)*100</f>
        <v>6.666666667</v>
      </c>
    </row>
    <row r="10">
      <c r="A10" s="42">
        <v>9.0</v>
      </c>
      <c r="B10" s="39" t="s">
        <v>359</v>
      </c>
      <c r="C10" s="43" t="str">
        <f>(Data!D46/Data!D47)*100</f>
        <v>#DIV/0!</v>
      </c>
      <c r="D10" s="43">
        <f>(Data!E46/Data!E47)*100</f>
        <v>40.32258065</v>
      </c>
    </row>
    <row r="11">
      <c r="A11" s="42">
        <v>10.0</v>
      </c>
      <c r="B11" s="39" t="s">
        <v>360</v>
      </c>
      <c r="C11" s="43" t="str">
        <f>(Data!D47/Data!D29)</f>
        <v>#DIV/0!</v>
      </c>
      <c r="D11" s="44">
        <f>(Data!E47/Data!E29)</f>
        <v>0.02066666667</v>
      </c>
    </row>
    <row r="12">
      <c r="A12" s="42">
        <v>11.0</v>
      </c>
      <c r="B12" s="39" t="s">
        <v>361</v>
      </c>
      <c r="C12" s="43">
        <f>1-(Data!D44/30)</f>
        <v>1</v>
      </c>
      <c r="D12" s="43">
        <f>1-(Data!E44/30)</f>
        <v>0.5</v>
      </c>
    </row>
    <row r="13">
      <c r="A13" s="42">
        <v>12.0</v>
      </c>
      <c r="B13" s="39" t="s">
        <v>362</v>
      </c>
      <c r="C13" s="43" t="str">
        <f>Data!D38</f>
        <v/>
      </c>
      <c r="D13" s="43" t="str">
        <f>Data!E38</f>
        <v>Yes</v>
      </c>
    </row>
    <row r="14">
      <c r="A14" s="42">
        <v>13.0</v>
      </c>
      <c r="B14" s="39" t="s">
        <v>363</v>
      </c>
      <c r="C14" s="43">
        <f>Data!D11-Data!D12</f>
        <v>0</v>
      </c>
      <c r="D14" s="43">
        <f>Data!E11-Data!E12</f>
        <v>25000000</v>
      </c>
    </row>
    <row r="15">
      <c r="A15" s="42">
        <v>14.0</v>
      </c>
      <c r="B15" s="39" t="s">
        <v>364</v>
      </c>
      <c r="C15" s="43" t="str">
        <f>Data!D15/Data!D16</f>
        <v>#DIV/0!</v>
      </c>
      <c r="D15" s="43">
        <f>Data!E15/Data!E16</f>
        <v>0.5454545455</v>
      </c>
    </row>
    <row r="16">
      <c r="A16" s="42">
        <v>15.0</v>
      </c>
      <c r="B16" s="39" t="s">
        <v>365</v>
      </c>
      <c r="C16" s="43" t="str">
        <f>Data!D13/Data!D14</f>
        <v>#DIV/0!</v>
      </c>
      <c r="D16" s="43">
        <f>Data!E13/Data!E14</f>
        <v>3.333333333</v>
      </c>
    </row>
    <row r="17">
      <c r="A17" s="42">
        <v>16.0</v>
      </c>
      <c r="B17" s="39" t="s">
        <v>366</v>
      </c>
      <c r="C17" s="43" t="str">
        <f>(Data!D17/Data!D7)</f>
        <v>#DIV/0!</v>
      </c>
      <c r="D17" s="43">
        <f>(Data!E17/Data!E7)</f>
        <v>0.01639344262</v>
      </c>
    </row>
    <row r="18">
      <c r="A18" s="42">
        <v>17.0</v>
      </c>
      <c r="B18" s="39" t="s">
        <v>367</v>
      </c>
      <c r="C18" s="43" t="str">
        <f>IF(Data!D41&gt;Data!D42,"UP",IF(Data!D41&lt;Data!D42,"DOWN","STABLE"))</f>
        <v>STABLE</v>
      </c>
      <c r="D18" s="43" t="str">
        <f>IF(Data!E41&gt;Data!E42,"UP",IF(Data!E41&lt;Data!E42,"DOWN","STABLE"))</f>
        <v>UP</v>
      </c>
    </row>
    <row r="19">
      <c r="A19" s="42">
        <v>18.0</v>
      </c>
      <c r="B19" s="39" t="s">
        <v>368</v>
      </c>
      <c r="C19" s="43" t="str">
        <f>(Data!D30/Data!D29)</f>
        <v>#DIV/0!</v>
      </c>
      <c r="D19" s="43">
        <f>(Data!E30/Data!E29)</f>
        <v>0.1666666667</v>
      </c>
    </row>
    <row r="20">
      <c r="A20" s="42">
        <v>19.0</v>
      </c>
      <c r="B20" s="39" t="s">
        <v>369</v>
      </c>
      <c r="C20" s="43" t="str">
        <f>Data!D44</f>
        <v/>
      </c>
      <c r="D20" s="43">
        <f>Data!E44</f>
        <v>15</v>
      </c>
    </row>
    <row r="21">
      <c r="A21" s="42">
        <v>20.0</v>
      </c>
      <c r="B21" s="39" t="s">
        <v>370</v>
      </c>
      <c r="C21" s="43" t="str">
        <f>Data!D45</f>
        <v/>
      </c>
      <c r="D21" s="43" t="str">
        <f>Data!E45</f>
        <v>Few Times</v>
      </c>
    </row>
    <row r="22">
      <c r="A22" s="42">
        <v>21.0</v>
      </c>
      <c r="B22" s="39" t="s">
        <v>371</v>
      </c>
      <c r="C22" s="43" t="str">
        <f>Data!D33</f>
        <v/>
      </c>
      <c r="D22" s="43">
        <f>Data!E33</f>
        <v>8</v>
      </c>
    </row>
    <row r="23">
      <c r="A23" s="42">
        <v>22.0</v>
      </c>
      <c r="B23" s="39" t="s">
        <v>372</v>
      </c>
      <c r="C23" s="43" t="str">
        <f>Data!D34</f>
        <v/>
      </c>
      <c r="D23" s="43" t="str">
        <f>Data!E34</f>
        <v>Robust</v>
      </c>
    </row>
    <row r="24">
      <c r="A24" s="42">
        <v>23.0</v>
      </c>
      <c r="B24" s="39" t="s">
        <v>373</v>
      </c>
      <c r="C24" s="43" t="str">
        <f>Data!D35</f>
        <v/>
      </c>
      <c r="D24" s="43" t="str">
        <f>Data!E35</f>
        <v>Few</v>
      </c>
    </row>
    <row r="25">
      <c r="A25" s="42">
        <v>24.0</v>
      </c>
      <c r="B25" s="39" t="s">
        <v>374</v>
      </c>
      <c r="C25" s="43" t="str">
        <f>Data!D36</f>
        <v/>
      </c>
      <c r="D25" s="43" t="str">
        <f>Data!E36</f>
        <v>Yes</v>
      </c>
    </row>
    <row r="26">
      <c r="A26" s="42">
        <v>25.0</v>
      </c>
      <c r="B26" s="39" t="s">
        <v>375</v>
      </c>
      <c r="C26" s="43" t="str">
        <f>Data!D40</f>
        <v/>
      </c>
      <c r="D26" s="43" t="str">
        <f>Data!E40</f>
        <v>Standards and documents exist. मापदण्ड र दस्तावेज छन्</v>
      </c>
    </row>
    <row r="27">
      <c r="A27" s="42">
        <v>26.0</v>
      </c>
      <c r="B27" s="39" t="s">
        <v>376</v>
      </c>
      <c r="C27" s="43" t="str">
        <f>(Data!D31/Data!D32)*100</f>
        <v>#DIV/0!</v>
      </c>
      <c r="D27" s="43">
        <f>(Data!E31/Data!E32)*100</f>
        <v>49.18032787</v>
      </c>
    </row>
    <row r="28">
      <c r="A28" s="42">
        <v>27.0</v>
      </c>
      <c r="B28" s="39" t="s">
        <v>377</v>
      </c>
      <c r="C28" s="43" t="str">
        <f>Data!D54</f>
        <v/>
      </c>
      <c r="D28" s="43" t="str">
        <f>Data!E54</f>
        <v>Yes</v>
      </c>
    </row>
    <row r="29">
      <c r="A29" s="42">
        <v>28.0</v>
      </c>
      <c r="B29" s="39" t="s">
        <v>378</v>
      </c>
      <c r="C29" s="43" t="str">
        <f>Data!D55</f>
        <v/>
      </c>
      <c r="D29" s="43" t="str">
        <f>Data!E55</f>
        <v>Yes</v>
      </c>
    </row>
    <row r="30">
      <c r="A30" s="42">
        <v>29.0</v>
      </c>
      <c r="B30" s="39" t="s">
        <v>379</v>
      </c>
      <c r="C30" s="43" t="str">
        <f>Data!D56</f>
        <v/>
      </c>
      <c r="D30" s="43" t="str">
        <f>Data!E56</f>
        <v>Partial</v>
      </c>
    </row>
    <row r="31">
      <c r="A31" s="42">
        <v>30.0</v>
      </c>
      <c r="B31" s="39" t="s">
        <v>380</v>
      </c>
      <c r="C31" s="43" t="str">
        <f>Data!D57</f>
        <v/>
      </c>
      <c r="D31" s="43" t="str">
        <f>Data!E57</f>
        <v>Low</v>
      </c>
    </row>
    <row r="32">
      <c r="A32" s="42">
        <v>31.0</v>
      </c>
      <c r="B32" s="39" t="s">
        <v>381</v>
      </c>
      <c r="C32" s="43" t="str">
        <f>Data!D58</f>
        <v/>
      </c>
      <c r="D32" s="43" t="str">
        <f>Data!E58</f>
        <v>Pass</v>
      </c>
    </row>
    <row r="33">
      <c r="A33" s="42">
        <v>32.0</v>
      </c>
      <c r="B33" s="39" t="s">
        <v>382</v>
      </c>
      <c r="C33" s="43" t="str">
        <f>Data!D59</f>
        <v/>
      </c>
      <c r="D33" s="43">
        <f>Data!E59</f>
        <v>5</v>
      </c>
    </row>
    <row r="34">
      <c r="A34" s="42">
        <v>33.0</v>
      </c>
      <c r="B34" s="39" t="s">
        <v>383</v>
      </c>
      <c r="C34" s="43" t="str">
        <f>Data!D61/Data!D32*100</f>
        <v>#DIV/0!</v>
      </c>
      <c r="D34" s="43">
        <f>Data!E61/Data!E32*100</f>
        <v>26.2295082</v>
      </c>
    </row>
    <row r="35">
      <c r="A35" s="42">
        <v>34.0</v>
      </c>
      <c r="B35" s="39" t="s">
        <v>384</v>
      </c>
      <c r="C35" s="43" t="str">
        <f>(Data!D62/Data!D32)*100</f>
        <v>#DIV/0!</v>
      </c>
      <c r="D35" s="43">
        <f>(Data!E62/Data!E32)*100</f>
        <v>6.557377049</v>
      </c>
    </row>
    <row r="36">
      <c r="A36" s="42">
        <v>35.0</v>
      </c>
      <c r="B36" s="39" t="s">
        <v>385</v>
      </c>
      <c r="C36" s="44" t="str">
        <f>(Data!D63+Data!D64)/Data!D60</f>
        <v>#DIV/0!</v>
      </c>
      <c r="D36" s="44">
        <f>(Data!E63+Data!E64)/Data!E60</f>
        <v>0.5</v>
      </c>
    </row>
    <row r="37">
      <c r="A37" s="42">
        <v>36.0</v>
      </c>
      <c r="B37" s="39" t="s">
        <v>386</v>
      </c>
      <c r="C37" s="44" t="str">
        <f>Data!D67</f>
        <v>#DIV/0!</v>
      </c>
      <c r="D37" s="44">
        <f>Data!E67</f>
        <v>0.6666666667</v>
      </c>
    </row>
    <row r="38">
      <c r="A38" s="42">
        <v>37.0</v>
      </c>
      <c r="B38" s="39" t="s">
        <v>387</v>
      </c>
      <c r="C38" s="43">
        <f>1-(Data!D66/90)</f>
        <v>1</v>
      </c>
      <c r="D38" s="43">
        <f>1-(Data!E66/90)</f>
        <v>0.6111111111</v>
      </c>
    </row>
    <row r="39">
      <c r="A39" s="42">
        <v>38.0</v>
      </c>
      <c r="B39" s="39" t="s">
        <v>247</v>
      </c>
      <c r="C39" s="45" t="str">
        <f>Data!D68</f>
        <v/>
      </c>
      <c r="D39" s="45" t="str">
        <f>Data!E68</f>
        <v>Weekly</v>
      </c>
    </row>
    <row r="40">
      <c r="A40" s="42">
        <v>39.0</v>
      </c>
      <c r="B40" s="39" t="s">
        <v>250</v>
      </c>
      <c r="C40" s="45" t="str">
        <f>Data!D69</f>
        <v/>
      </c>
      <c r="D40" s="45" t="str">
        <f>Data!E69</f>
        <v>Always</v>
      </c>
    </row>
    <row r="41">
      <c r="A41" s="42">
        <v>40.0</v>
      </c>
      <c r="B41" s="39" t="s">
        <v>388</v>
      </c>
      <c r="C41" s="45" t="str">
        <f>Data!D70</f>
        <v/>
      </c>
      <c r="D41" s="45" t="str">
        <f>Data!E70</f>
        <v>Buying milk</v>
      </c>
    </row>
    <row r="42">
      <c r="A42" s="42">
        <v>41.0</v>
      </c>
      <c r="B42" s="39" t="s">
        <v>389</v>
      </c>
      <c r="C42" s="45" t="str">
        <f>Data!D71</f>
        <v/>
      </c>
      <c r="D42" s="45" t="str">
        <f>Data!E71</f>
        <v>Easily Found</v>
      </c>
    </row>
    <row r="43">
      <c r="A43" s="42">
        <v>42.0</v>
      </c>
      <c r="B43" s="39" t="s">
        <v>390</v>
      </c>
      <c r="C43" s="45" t="str">
        <f>Data!D72</f>
        <v/>
      </c>
      <c r="D43" s="45" t="str">
        <f>Data!E72</f>
        <v>Regularly</v>
      </c>
    </row>
    <row r="44">
      <c r="A44" s="42">
        <v>43.0</v>
      </c>
      <c r="B44" s="39" t="s">
        <v>391</v>
      </c>
      <c r="C44" s="45" t="str">
        <f>Data!D73</f>
        <v/>
      </c>
      <c r="D44" s="45" t="str">
        <f>Data!E73</f>
        <v>Always beforehand</v>
      </c>
    </row>
    <row r="45">
      <c r="A45" s="42">
        <v>44.0</v>
      </c>
      <c r="B45" s="39" t="s">
        <v>392</v>
      </c>
      <c r="C45" s="45" t="str">
        <f>Data!D74</f>
        <v/>
      </c>
      <c r="D45" s="45" t="str">
        <f>Data!E74</f>
        <v>Frequently</v>
      </c>
    </row>
    <row r="46">
      <c r="A46" s="42">
        <v>45.0</v>
      </c>
      <c r="B46" s="39" t="s">
        <v>393</v>
      </c>
      <c r="C46" s="45" t="str">
        <f>Data!D75</f>
        <v/>
      </c>
      <c r="D46" s="45" t="str">
        <f>Data!E75</f>
        <v>Proper Plan</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33.0"/>
    <col customWidth="1" min="3" max="3" width="21.13"/>
    <col customWidth="1" min="4" max="4" width="21.38"/>
    <col customWidth="1" min="5" max="5" width="36.63"/>
    <col customWidth="1" min="6" max="7" width="16.0"/>
  </cols>
  <sheetData>
    <row r="1">
      <c r="A1" s="46" t="s">
        <v>270</v>
      </c>
      <c r="B1" s="47" t="s">
        <v>394</v>
      </c>
      <c r="C1" s="48" t="s">
        <v>395</v>
      </c>
      <c r="D1" s="48" t="s">
        <v>396</v>
      </c>
      <c r="E1" s="48" t="s">
        <v>397</v>
      </c>
      <c r="F1" s="49" t="s">
        <v>398</v>
      </c>
      <c r="G1" s="49" t="s">
        <v>4</v>
      </c>
      <c r="H1" s="50" t="s">
        <v>399</v>
      </c>
    </row>
    <row r="2">
      <c r="A2" s="51">
        <v>1.0</v>
      </c>
      <c r="B2" s="52" t="s">
        <v>400</v>
      </c>
      <c r="C2" s="53">
        <v>180.0</v>
      </c>
      <c r="D2" s="54">
        <v>60.0</v>
      </c>
      <c r="E2" s="53" t="s">
        <v>351</v>
      </c>
      <c r="F2" s="53" t="str">
        <f>IF(Calculations!C2&gt;=1.5,60,
   IF(Calculations!C2&gt;=1.25,48,
      IF(Calculations!C2&gt;=1,36,
         IF(Calculations!C2&gt;=0.8,20,0)
      )
   )
)</f>
        <v>#DIV/0!</v>
      </c>
      <c r="G2" s="53">
        <f>IF(Calculations!D2&gt;=1.5,60,
   IF(Calculations!D2&gt;=1.25,48,
      IF(Calculations!D2&gt;=1,36,
         IF(Calculations!D2&gt;=0.8,20,0)
      )
   )
)</f>
        <v>36</v>
      </c>
      <c r="H2" s="55">
        <v>36.0</v>
      </c>
    </row>
    <row r="3">
      <c r="A3" s="56"/>
      <c r="B3" s="57" t="s">
        <v>400</v>
      </c>
      <c r="C3" s="57"/>
      <c r="D3" s="58">
        <v>50.0</v>
      </c>
      <c r="E3" s="59" t="s">
        <v>352</v>
      </c>
      <c r="F3" s="59" t="str">
        <f>IF(Calculations!C3&gt;=20,50,
   IF(Calculations!C3&gt;=15,40,
      IF(Calculations!C3&gt;=10,30,
         IF(Calculations!C3&gt;=5,20,0)
      )
   )
)</f>
        <v>#DIV/0!</v>
      </c>
      <c r="G3" s="59">
        <f>IF(Calculations!D3&gt;=20,50,
   IF(Calculations!D3&gt;=15,40,
      IF(Calculations!D3&gt;=10,30,
         IF(Calculations!D3&gt;=5,20,0)
      )
   )
)</f>
        <v>30</v>
      </c>
      <c r="H3" s="60">
        <v>30.0</v>
      </c>
    </row>
    <row r="4">
      <c r="A4" s="61"/>
      <c r="B4" s="52" t="s">
        <v>400</v>
      </c>
      <c r="C4" s="52"/>
      <c r="D4" s="54">
        <v>30.0</v>
      </c>
      <c r="E4" s="53" t="s">
        <v>353</v>
      </c>
      <c r="F4" s="53" t="str">
        <f>IF(Calculations!C4&gt;=60,30,
   IF(Calculations!C4&gt;=90,24,
      IF(Calculations!C4&gt;=120,18,
         IF(Calculations!C4&gt;=180,10,0)
      )
   )
)</f>
        <v>#DIV/0!</v>
      </c>
      <c r="G4" s="53">
        <f>IF(Calculations!D4&gt;=60,30,
   IF(Calculations!D4&gt;=90,24,
      IF(Calculations!D4&gt;=120,18,
         IF(Calculations!D4&gt;=180,10,0)
      )
   )
)</f>
        <v>30</v>
      </c>
      <c r="H4" s="55">
        <v>30.0</v>
      </c>
    </row>
    <row r="5">
      <c r="A5" s="56"/>
      <c r="B5" s="57" t="s">
        <v>400</v>
      </c>
      <c r="C5" s="57"/>
      <c r="D5" s="58">
        <v>40.0</v>
      </c>
      <c r="E5" s="59" t="s">
        <v>354</v>
      </c>
      <c r="F5" s="59" t="str">
        <f>IF(Calculations!C5&gt;=30,40,
   IF(Calculations!C5&gt;=45,32,
      IF(Calculations!C5&gt;=60,24,
         IF(Calculations!C5&gt;=90,12,0)
      )
   )
)</f>
        <v>#DIV/0!</v>
      </c>
      <c r="G5" s="59">
        <f>IF(Calculations!D5&gt;=30,40,
   IF(Calculations!D5&gt;=45,32,
      IF(Calculations!D5&gt;=60,24,
         IF(Calculations!D5&gt;=90,12,0)
      )
   )
)</f>
        <v>40</v>
      </c>
      <c r="H5" s="60">
        <v>40.0</v>
      </c>
    </row>
    <row r="6">
      <c r="A6" s="51">
        <v>2.0</v>
      </c>
      <c r="B6" s="52" t="s">
        <v>401</v>
      </c>
      <c r="C6" s="53">
        <v>150.0</v>
      </c>
      <c r="D6" s="54">
        <v>30.0</v>
      </c>
      <c r="E6" s="53" t="s">
        <v>355</v>
      </c>
      <c r="F6" s="53" t="str">
        <f>IF(Calculations!C6&gt;=90,30,
   IF(Calculations!C6&gt;=80,24,
      IF(Calculations!C6&gt;=70,18,
         IF(Calculations!C6&gt;=60,10,0)
      )
   )
)</f>
        <v>#DIV/0!</v>
      </c>
      <c r="G6" s="53">
        <f>IF(Calculations!D6&gt;=90,30,
   IF(Calculations!D6&gt;=80,24,
      IF(Calculations!D6&gt;=70,18,
         IF(Calculations!D6&gt;=60,10,0)
      )
   )
)</f>
        <v>24</v>
      </c>
      <c r="H6" s="55">
        <v>18.0</v>
      </c>
    </row>
    <row r="7">
      <c r="A7" s="56"/>
      <c r="B7" s="57" t="s">
        <v>401</v>
      </c>
      <c r="C7" s="57"/>
      <c r="D7" s="58">
        <v>20.0</v>
      </c>
      <c r="E7" s="59" t="s">
        <v>356</v>
      </c>
      <c r="F7" s="59">
        <f>IF(Calculations!C7&gt;=95,20,
   IF(Calculations!C7&gt;=85,15,
      IF(Calculations!C7&gt;=75,10,
         IF(Calculations!C7&gt;=65,5,0)
      )
   )
)</f>
        <v>0</v>
      </c>
      <c r="G7" s="59">
        <f>IF(Calculations!D7&gt;=95,20,
   IF(Calculations!D7&gt;=85,15,
      IF(Calculations!D7&gt;=75,10,
         IF(Calculations!D7&gt;=65,5,0)
      )
   )
)</f>
        <v>15</v>
      </c>
      <c r="H7" s="60">
        <v>15.0</v>
      </c>
    </row>
    <row r="8">
      <c r="A8" s="61"/>
      <c r="B8" s="52" t="s">
        <v>401</v>
      </c>
      <c r="C8" s="52"/>
      <c r="D8" s="54">
        <v>20.0</v>
      </c>
      <c r="E8" s="53" t="s">
        <v>357</v>
      </c>
      <c r="F8" s="53" t="str">
        <f>IF(Calculations!C8&gt;=2,20,
   IF(Calculations!C8&gt;=5,16,
      IF(Calculations!C8&gt;=8,10,
         IF(Calculations!C8&gt;=12,5,0)
      )
   )
)</f>
        <v>#DIV/0!</v>
      </c>
      <c r="G8" s="53">
        <f>IF(Calculations!D8&gt;=2,20,
   IF(Calculations!D8&gt;=5,16,
      IF(Calculations!D8&gt;=8,10,
         IF(Calculations!D8&gt;=12,5,0)
      )
   )
)</f>
        <v>20</v>
      </c>
      <c r="H8" s="55">
        <v>20.0</v>
      </c>
    </row>
    <row r="9">
      <c r="A9" s="56"/>
      <c r="B9" s="57" t="s">
        <v>401</v>
      </c>
      <c r="C9" s="57"/>
      <c r="D9" s="58">
        <v>20.0</v>
      </c>
      <c r="E9" s="59" t="s">
        <v>358</v>
      </c>
      <c r="F9" s="59" t="str">
        <f>IF(Calculations!C9&gt;=2,20,
   IF(Calculations!C9&gt;=5,15,
      IF(Calculations!C9&gt;=8,10,
         IF(Calculations!C9&gt;=12,5,0)
      )
   )
)</f>
        <v>#DIV/0!</v>
      </c>
      <c r="G9" s="59">
        <f>IF(Calculations!D9&gt;=2,20,
   IF(Calculations!D9&gt;=5,15,
      IF(Calculations!D9&gt;=8,10,
         IF(Calculations!D9&gt;=12,5,0)
      )
   )
)</f>
        <v>20</v>
      </c>
      <c r="H9" s="60">
        <v>20.0</v>
      </c>
    </row>
    <row r="10">
      <c r="A10" s="61"/>
      <c r="B10" s="52" t="s">
        <v>401</v>
      </c>
      <c r="C10" s="52"/>
      <c r="D10" s="54">
        <v>15.0</v>
      </c>
      <c r="E10" s="53" t="s">
        <v>359</v>
      </c>
      <c r="F10" s="53" t="str">
        <f>IF(Calculations!C10&gt;=20,15,
   IF(Calculations!C10&gt;=35,12,
      IF(Calculations!C10&gt;=50,8,
         IF(Calculations!C10&gt;=70,4,0)
      )
   )
)</f>
        <v>#DIV/0!</v>
      </c>
      <c r="G10" s="53">
        <f>IF(Calculations!D10&gt;=20,15,
   IF(Calculations!D10&gt;=35,12,
      IF(Calculations!D10&gt;=50,8,
         IF(Calculations!D10&gt;=70,4,0)
      )
   )
)</f>
        <v>15</v>
      </c>
      <c r="H10" s="55">
        <v>15.0</v>
      </c>
    </row>
    <row r="11">
      <c r="A11" s="56"/>
      <c r="B11" s="57" t="s">
        <v>401</v>
      </c>
      <c r="C11" s="59" t="s">
        <v>402</v>
      </c>
      <c r="D11" s="58">
        <v>15.0</v>
      </c>
      <c r="E11" s="59" t="s">
        <v>360</v>
      </c>
      <c r="F11" s="59" t="str">
        <f>IF(Calculations!C11&gt;=15%,15,
   IF(Calculations!C11&gt;=10%,12,
      IF(Calculations!C11&gt;=5%,8,
         IF(Calculations!C11&gt;=1%,4,0)
      )
   )
)</f>
        <v>#DIV/0!</v>
      </c>
      <c r="G11" s="59">
        <f>IF(Calculations!D11&gt;=15%,15,
   IF(Calculations!D11&gt;=10%,12,
      IF(Calculations!D11&gt;=5%,8,
         IF(Calculations!D11&gt;=1%,4,0)
      )
   )
)</f>
        <v>4</v>
      </c>
      <c r="H11" s="60">
        <v>4.0</v>
      </c>
      <c r="L11" s="62"/>
      <c r="M11" s="63"/>
    </row>
    <row r="12">
      <c r="A12" s="61"/>
      <c r="B12" s="52" t="s">
        <v>401</v>
      </c>
      <c r="C12" s="52"/>
      <c r="D12" s="54">
        <v>15.0</v>
      </c>
      <c r="E12" s="53" t="s">
        <v>361</v>
      </c>
      <c r="F12" s="53">
        <f>IF(Calculations!C12&gt;=85%,15,
   IF(Calculations!C12&gt;=70%,12,
      IF(Calculations!C12&gt;=55%,8,
         IF(Calculations!C12&gt;=40%,4,0)
      )
   )
)</f>
        <v>15</v>
      </c>
      <c r="G12" s="53">
        <f>IF(Calculations!D12&gt;=85%,15,
   IF(Calculations!D12&gt;=70%,12,
      IF(Calculations!D12&gt;=55%,8,
         IF(Calculations!D12&gt;=40%,4,0)
      )
   )
)</f>
        <v>4</v>
      </c>
      <c r="H12" s="55">
        <v>4.0</v>
      </c>
      <c r="L12" s="62"/>
      <c r="M12" s="62"/>
    </row>
    <row r="13">
      <c r="A13" s="56"/>
      <c r="B13" s="57" t="s">
        <v>401</v>
      </c>
      <c r="C13" s="57"/>
      <c r="D13" s="58">
        <v>15.0</v>
      </c>
      <c r="E13" s="59" t="s">
        <v>362</v>
      </c>
      <c r="F13" s="59">
        <f>IF(
Calculations!C13="Yes",15,0)</f>
        <v>0</v>
      </c>
      <c r="G13" s="59">
        <f>IF(
Calculations!D13="Yes",15,0)</f>
        <v>15</v>
      </c>
      <c r="H13" s="60">
        <v>15.0</v>
      </c>
      <c r="L13" s="62"/>
      <c r="M13" s="62"/>
    </row>
    <row r="14">
      <c r="A14" s="51">
        <v>3.0</v>
      </c>
      <c r="B14" s="52" t="s">
        <v>403</v>
      </c>
      <c r="C14" s="53">
        <v>180.0</v>
      </c>
      <c r="D14" s="54">
        <v>40.0</v>
      </c>
      <c r="E14" s="53" t="s">
        <v>363</v>
      </c>
      <c r="F14" s="53">
        <f>IF(Calculations!C14&gt;(Data!D5+Data!D6),40,IF(Calculations!C14=(Data!D5+Data!D6)*20,30,15))</f>
        <v>30</v>
      </c>
      <c r="G14" s="53">
        <f>IF(Calculations!D14&gt;(Data!E5+Data!E6),40,IF(Calculations!D14=(Data!E5+Data!E6)*20,30,15))</f>
        <v>40</v>
      </c>
      <c r="H14" s="55">
        <v>40.0</v>
      </c>
      <c r="L14" s="62"/>
      <c r="M14" s="62"/>
    </row>
    <row r="15">
      <c r="A15" s="56"/>
      <c r="B15" s="57" t="s">
        <v>403</v>
      </c>
      <c r="C15" s="57"/>
      <c r="D15" s="58">
        <v>40.0</v>
      </c>
      <c r="E15" s="59" t="s">
        <v>404</v>
      </c>
      <c r="F15" s="59" t="str">
        <f>IF(Calculations!C15&lt;=0.5,40,
IF(Calculations!C15&lt;=1,32,
IF(Calculations!C15&lt;=2,20,
IF(Calculations!C15&lt;=3,10,0))))</f>
        <v>#DIV/0!</v>
      </c>
      <c r="G15" s="59">
        <f>IF(Calculations!D15&lt;=0.5,40,
IF(Calculations!D15&lt;=1,32,
IF(Calculations!D15&lt;=2,20,
IF(Calculations!D15&lt;=3,10,0))))</f>
        <v>32</v>
      </c>
      <c r="H15" s="60">
        <v>32.0</v>
      </c>
      <c r="L15" s="62"/>
      <c r="M15" s="62"/>
    </row>
    <row r="16">
      <c r="A16" s="61"/>
      <c r="B16" s="52" t="s">
        <v>403</v>
      </c>
      <c r="C16" s="52"/>
      <c r="D16" s="54">
        <v>40.0</v>
      </c>
      <c r="E16" s="53" t="s">
        <v>365</v>
      </c>
      <c r="F16" s="53" t="str">
        <f>IF(Calculations!C16&gt;=2,40,
IF(Calculations!C16&gt;=1.5,30,
IF(Calculations!C16&gt;=1,20,
IF(Calculations!C16&gt;=0.5,10,0))))</f>
        <v>#DIV/0!</v>
      </c>
      <c r="G16" s="53">
        <f>IF(Calculations!D16&gt;=2,40,
IF(Calculations!D16&gt;=1.5,30,
IF(Calculations!D16&gt;=1,20,
IF(Calculations!D16&gt;=0.5,10,0))))</f>
        <v>40</v>
      </c>
      <c r="H16" s="55">
        <v>40.0</v>
      </c>
      <c r="L16" s="62"/>
      <c r="M16" s="62"/>
    </row>
    <row r="17">
      <c r="A17" s="56"/>
      <c r="B17" s="57" t="s">
        <v>403</v>
      </c>
      <c r="C17" s="57"/>
      <c r="D17" s="58">
        <v>30.0</v>
      </c>
      <c r="E17" s="59" t="s">
        <v>405</v>
      </c>
      <c r="F17" s="59" t="str">
        <f>IF(Calculations!C17&lt;=0.02,30,
IF(Calculations!C17&lt;=0.05,15,
IF(Calculations!C17&lt;=0.1,10,0)))</f>
        <v>#DIV/0!</v>
      </c>
      <c r="G17" s="59">
        <f>IF(Calculations!D17&lt;=0.02,30,
IF(Calculations!D17&lt;=0.05,15,
IF(Calculations!D17&lt;=0.1,10,0)))</f>
        <v>30</v>
      </c>
      <c r="H17" s="60">
        <v>30.0</v>
      </c>
      <c r="L17" s="62"/>
      <c r="M17" s="62"/>
    </row>
    <row r="18">
      <c r="A18" s="61"/>
      <c r="B18" s="52" t="s">
        <v>403</v>
      </c>
      <c r="C18" s="52"/>
      <c r="D18" s="54">
        <v>30.0</v>
      </c>
      <c r="E18" s="53" t="s">
        <v>367</v>
      </c>
      <c r="F18" s="53">
        <f>IF(Calculations!C18="UP",30,
IF(Calculations!C18="STABLE",15,0))</f>
        <v>15</v>
      </c>
      <c r="G18" s="53">
        <f>IF(Calculations!D18="UP",30,
IF(Calculations!D18="STABLE",15,0))</f>
        <v>30</v>
      </c>
      <c r="H18" s="55">
        <v>30.0</v>
      </c>
      <c r="L18" s="62"/>
      <c r="M18" s="62"/>
    </row>
    <row r="19">
      <c r="A19" s="64">
        <v>4.0</v>
      </c>
      <c r="B19" s="57" t="s">
        <v>406</v>
      </c>
      <c r="C19" s="59">
        <v>50.0</v>
      </c>
      <c r="D19" s="58">
        <v>25.0</v>
      </c>
      <c r="E19" s="59" t="s">
        <v>376</v>
      </c>
      <c r="F19" s="59" t="str">
        <f>IF(Calculations!C27&gt;80%,25,
IF(Calculations!C27&gt;50%,15,0))</f>
        <v>#DIV/0!</v>
      </c>
      <c r="G19" s="59">
        <f>IF(Calculations!D27&gt;80%,25,
IF(Calculations!D27&gt;50%,15,0))</f>
        <v>25</v>
      </c>
      <c r="H19" s="60">
        <v>25.0</v>
      </c>
      <c r="L19" s="62"/>
      <c r="M19" s="62"/>
    </row>
    <row r="20">
      <c r="A20" s="61"/>
      <c r="B20" s="52" t="s">
        <v>406</v>
      </c>
      <c r="C20" s="52"/>
      <c r="D20" s="54">
        <v>25.0</v>
      </c>
      <c r="E20" s="53" t="s">
        <v>378</v>
      </c>
      <c r="F20" s="53">
        <f>IF(Calculations!C29="Yes",25,0)</f>
        <v>0</v>
      </c>
      <c r="G20" s="53">
        <f>IF(Calculations!D29="Yes",25,0)</f>
        <v>25</v>
      </c>
      <c r="H20" s="55">
        <v>25.0</v>
      </c>
      <c r="L20" s="62"/>
      <c r="M20" s="62"/>
    </row>
    <row r="21">
      <c r="A21" s="64">
        <v>5.0</v>
      </c>
      <c r="B21" s="57" t="s">
        <v>407</v>
      </c>
      <c r="C21" s="59">
        <v>100.0</v>
      </c>
      <c r="D21" s="58">
        <v>45.0</v>
      </c>
      <c r="E21" s="59" t="s">
        <v>368</v>
      </c>
      <c r="F21" s="59" t="str">
        <f>IF(Calculations!C19&lt;=5%,45,
IF(Calculations!C19&lt;=10%,35,
IF(Calculations!C19&lt;=15%,25,
IF(Calculations!C19&lt;=20%,15,0))))</f>
        <v>#DIV/0!</v>
      </c>
      <c r="G21" s="59">
        <f>IF(Calculations!D19&lt;=5%,45,
IF(Calculations!D19&lt;=10%,35,
IF(Calculations!D19&lt;=15%,25,
IF(Calculations!D19&lt;=20%,15,0))))</f>
        <v>15</v>
      </c>
      <c r="H21" s="60">
        <v>15.0</v>
      </c>
      <c r="L21" s="62"/>
      <c r="M21" s="62"/>
    </row>
    <row r="22">
      <c r="A22" s="61"/>
      <c r="B22" s="52" t="s">
        <v>407</v>
      </c>
      <c r="C22" s="52"/>
      <c r="D22" s="54">
        <v>35.0</v>
      </c>
      <c r="E22" s="53" t="s">
        <v>369</v>
      </c>
      <c r="F22" s="53">
        <f>IF(Calculations!C20&lt;=5,35,
IF(Calculations!C20&lt;=10,25,
IF(Calculations!C20&lt;=15,15,0)))</f>
        <v>35</v>
      </c>
      <c r="G22" s="53">
        <f>IF(Calculations!D20&lt;=5,35,
IF(Calculations!D20&lt;=10,25,
IF(Calculations!D20&lt;=15,15,0)))</f>
        <v>15</v>
      </c>
      <c r="H22" s="55">
        <v>15.0</v>
      </c>
      <c r="L22" s="62"/>
      <c r="M22" s="62"/>
    </row>
    <row r="23">
      <c r="A23" s="56"/>
      <c r="B23" s="57" t="s">
        <v>407</v>
      </c>
      <c r="C23" s="57"/>
      <c r="D23" s="58">
        <v>20.0</v>
      </c>
      <c r="E23" s="59" t="s">
        <v>370</v>
      </c>
      <c r="F23" s="59">
        <f>IF(Calculations!C21="Never",20,
IF(Calculations!C21="Few Times",15,0))</f>
        <v>0</v>
      </c>
      <c r="G23" s="59">
        <f>IF(Calculations!D21="Never",20,
IF(Calculations!D21="Few Times",15,0))</f>
        <v>15</v>
      </c>
      <c r="H23" s="60">
        <v>15.0</v>
      </c>
      <c r="L23" s="65"/>
      <c r="M23" s="65"/>
    </row>
    <row r="24">
      <c r="A24" s="51">
        <v>6.0</v>
      </c>
      <c r="B24" s="52" t="s">
        <v>408</v>
      </c>
      <c r="C24" s="53">
        <v>100.0</v>
      </c>
      <c r="D24" s="54">
        <v>25.0</v>
      </c>
      <c r="E24" s="53" t="s">
        <v>409</v>
      </c>
      <c r="F24" s="53">
        <f>IF(Calculations!C22&gt;=10,25,
IF(Calculations!C22&gt;=7,15,
IF(Calculations!C22&gt;=5,10,0)))</f>
        <v>0</v>
      </c>
      <c r="G24" s="53">
        <f>IF(Calculations!D22&gt;=10,25,
IF(Calculations!D22&gt;=7,15,
IF(Calculations!D22&gt;=5,10,0)))</f>
        <v>15</v>
      </c>
      <c r="H24" s="55">
        <v>15.0</v>
      </c>
      <c r="L24" s="65"/>
      <c r="M24" s="65"/>
    </row>
    <row r="25">
      <c r="A25" s="56"/>
      <c r="B25" s="57" t="s">
        <v>408</v>
      </c>
      <c r="C25" s="57"/>
      <c r="D25" s="58">
        <v>25.0</v>
      </c>
      <c r="E25" s="59" t="s">
        <v>372</v>
      </c>
      <c r="F25" s="59">
        <f>IF(Calculations!C23="Robust",25,
IF(Calculations!C23="Moderate",10,0))</f>
        <v>0</v>
      </c>
      <c r="G25" s="59">
        <f>IF(Calculations!D23="Robust",25,
IF(Calculations!D23="Moderate",10,0))</f>
        <v>25</v>
      </c>
      <c r="H25" s="60">
        <v>25.0</v>
      </c>
      <c r="L25" s="65"/>
      <c r="M25" s="65"/>
    </row>
    <row r="26">
      <c r="A26" s="61"/>
      <c r="B26" s="52" t="s">
        <v>408</v>
      </c>
      <c r="C26" s="52"/>
      <c r="D26" s="54">
        <v>25.0</v>
      </c>
      <c r="E26" s="53" t="s">
        <v>373</v>
      </c>
      <c r="F26" s="53">
        <f>IF(Calculations!C24="None",25,
IF(Calculations!C24="Few",15,0))</f>
        <v>0</v>
      </c>
      <c r="G26" s="53">
        <f>IF(Calculations!D24="None",25,
IF(Calculations!D24="Few",15,0))</f>
        <v>15</v>
      </c>
      <c r="H26" s="55">
        <v>15.0</v>
      </c>
      <c r="L26" s="65"/>
      <c r="M26" s="62"/>
    </row>
    <row r="27">
      <c r="A27" s="56"/>
      <c r="B27" s="57" t="s">
        <v>408</v>
      </c>
      <c r="C27" s="57"/>
      <c r="D27" s="58">
        <v>25.0</v>
      </c>
      <c r="E27" s="59" t="s">
        <v>374</v>
      </c>
      <c r="F27" s="59">
        <f>IF(Calculations!C25="Yes",25,0)</f>
        <v>0</v>
      </c>
      <c r="G27" s="59">
        <f>IF(Calculations!D25="Yes",25,0)</f>
        <v>25</v>
      </c>
      <c r="H27" s="60">
        <v>25.0</v>
      </c>
      <c r="L27" s="65"/>
      <c r="M27" s="62"/>
    </row>
    <row r="28">
      <c r="A28" s="51">
        <v>7.0</v>
      </c>
      <c r="B28" s="52" t="s">
        <v>410</v>
      </c>
      <c r="C28" s="53">
        <v>40.0</v>
      </c>
      <c r="D28" s="54">
        <v>40.0</v>
      </c>
      <c r="E28" s="53" t="s">
        <v>411</v>
      </c>
      <c r="F28" s="53">
        <f>IF(Calculations!C26&gt;=9,40,
IF(Calculations!C26&gt;=7,30,
IF(Calculations!C26&gt;=5,20,
IF(Calculations!C26&gt;=3,10,0))))</f>
        <v>0</v>
      </c>
      <c r="G28" s="53">
        <f>IF(Calculations!D26&gt;=9,40,
IF(Calculations!D26&gt;=7,30,
IF(Calculations!D26&gt;=5,20,
IF(Calculations!D26&gt;=3,10,0))))</f>
        <v>40</v>
      </c>
      <c r="H28" s="55">
        <v>40.0</v>
      </c>
      <c r="L28" s="65"/>
      <c r="M28" s="62"/>
    </row>
    <row r="29">
      <c r="A29" s="64">
        <v>8.0</v>
      </c>
      <c r="B29" s="57" t="s">
        <v>412</v>
      </c>
      <c r="C29" s="59">
        <v>40.0</v>
      </c>
      <c r="D29" s="58">
        <v>10.0</v>
      </c>
      <c r="E29" s="59" t="s">
        <v>377</v>
      </c>
      <c r="F29" s="59">
        <f>IF(Calculations!C28="Yes",10,0)</f>
        <v>0</v>
      </c>
      <c r="G29" s="59">
        <f>IF(Calculations!D28="Yes",10,0)</f>
        <v>10</v>
      </c>
      <c r="H29" s="60">
        <v>10.0</v>
      </c>
      <c r="L29" s="65"/>
      <c r="M29" s="62"/>
    </row>
    <row r="30">
      <c r="A30" s="61"/>
      <c r="B30" s="52" t="s">
        <v>412</v>
      </c>
      <c r="C30" s="52"/>
      <c r="D30" s="54">
        <v>15.0</v>
      </c>
      <c r="E30" s="53" t="s">
        <v>379</v>
      </c>
      <c r="F30" s="66">
        <f>IF(Calculations!C30="Full", 10, IF(Calculations!C30="Partial", 5, 0))</f>
        <v>0</v>
      </c>
      <c r="G30" s="66">
        <f>IF(Calculations!D30="Full", 10, IF(Calculations!D30="Partial", 5, 0))</f>
        <v>5</v>
      </c>
      <c r="H30" s="67">
        <v>5.0</v>
      </c>
      <c r="L30" s="65"/>
      <c r="M30" s="62"/>
    </row>
    <row r="31">
      <c r="A31" s="56"/>
      <c r="B31" s="57" t="s">
        <v>412</v>
      </c>
      <c r="C31" s="57"/>
      <c r="D31" s="58">
        <v>15.0</v>
      </c>
      <c r="E31" s="59" t="s">
        <v>413</v>
      </c>
      <c r="F31" s="59">
        <f>IF(Calculations!C31="Low",15,
IF(Calculations!C31="Medium",10,0))</f>
        <v>0</v>
      </c>
      <c r="G31" s="59">
        <f>IF(Calculations!D31="Low",15,
IF(Calculations!D31="Medium",10,0))</f>
        <v>15</v>
      </c>
      <c r="H31" s="60">
        <v>0.0</v>
      </c>
      <c r="L31" s="63"/>
      <c r="M31" s="62"/>
    </row>
    <row r="32">
      <c r="A32" s="51">
        <v>9.0</v>
      </c>
      <c r="B32" s="52" t="s">
        <v>414</v>
      </c>
      <c r="C32" s="53">
        <v>40.0</v>
      </c>
      <c r="D32" s="54">
        <v>20.0</v>
      </c>
      <c r="E32" s="53" t="s">
        <v>381</v>
      </c>
      <c r="F32" s="53">
        <f>IF(Calculations!C32="Pass",20,IF(Calculations!C32="Watchlist",15,IF(Calculations!C32="Substandard",10,0)))</f>
        <v>0</v>
      </c>
      <c r="G32" s="53">
        <f>IF(Calculations!D32="Pass",20,IF(Calculations!D32="Watchlist",15,IF(Calculations!D32="Substandard",10,0)))</f>
        <v>20</v>
      </c>
      <c r="H32" s="55">
        <v>20.0</v>
      </c>
      <c r="L32" s="63"/>
      <c r="M32" s="62"/>
    </row>
    <row r="33">
      <c r="A33" s="56"/>
      <c r="B33" s="57" t="s">
        <v>414</v>
      </c>
      <c r="C33" s="57"/>
      <c r="D33" s="58">
        <v>20.0</v>
      </c>
      <c r="E33" s="59" t="s">
        <v>382</v>
      </c>
      <c r="F33" s="59">
        <f>IF(Calculations!C33&lt;=5,20,
IF(Calculations!C33&lt;=10,15,
IF(Calculations!C33&lt;=15,10,0)))</f>
        <v>20</v>
      </c>
      <c r="G33" s="59">
        <f>IF(Calculations!D33&lt;=5,20,
IF(Calculations!D33&lt;=10,15,
IF(Calculations!D33&lt;=15,10,0)))</f>
        <v>20</v>
      </c>
      <c r="H33" s="60">
        <v>20.0</v>
      </c>
      <c r="L33" s="63"/>
      <c r="M33" s="62"/>
    </row>
    <row r="34">
      <c r="A34" s="51">
        <v>10.0</v>
      </c>
      <c r="B34" s="52" t="s">
        <v>415</v>
      </c>
      <c r="C34" s="53">
        <v>80.0</v>
      </c>
      <c r="D34" s="54">
        <v>25.0</v>
      </c>
      <c r="E34" s="53" t="s">
        <v>416</v>
      </c>
      <c r="F34" s="53" t="str">
        <f>IF(Calculations!C34&lt;=20,25,
IF(Calculations!C34&lt;=30,20,
IF(Calculations!C34&lt;=40,15,
IF(Calculations!C34&lt;=50,10,5))))</f>
        <v>#DIV/0!</v>
      </c>
      <c r="G34" s="53">
        <f>IF(Calculations!D34&lt;=20,25,
IF(Calculations!D34&lt;=30,20,
IF(Calculations!D34&lt;=40,15,
IF(Calculations!D34&lt;=50,10,5))))</f>
        <v>20</v>
      </c>
      <c r="H34" s="55">
        <v>20.0</v>
      </c>
      <c r="L34" s="63"/>
      <c r="M34" s="62"/>
    </row>
    <row r="35">
      <c r="A35" s="56"/>
      <c r="B35" s="57" t="s">
        <v>415</v>
      </c>
      <c r="C35" s="57"/>
      <c r="D35" s="58">
        <v>25.0</v>
      </c>
      <c r="E35" s="59" t="s">
        <v>417</v>
      </c>
      <c r="F35" s="59" t="str">
        <f>IF(Calculations!C35&lt;=20,25,
IF(Calculations!C35&lt;=30,20,
IF(Calculations!C35&lt;=40,15,
IF(Calculations!C35&lt;=50,10,5))))</f>
        <v>#DIV/0!</v>
      </c>
      <c r="G35" s="59">
        <f>IF(Calculations!D35&lt;=20,25,
IF(Calculations!D35&lt;=30,20,
IF(Calculations!D35&lt;=40,15,
IF(Calculations!D35&lt;=50,10,5))))</f>
        <v>25</v>
      </c>
      <c r="H35" s="60">
        <v>25.0</v>
      </c>
      <c r="L35" s="63"/>
      <c r="M35" s="62"/>
    </row>
    <row r="36">
      <c r="A36" s="61"/>
      <c r="B36" s="52" t="s">
        <v>415</v>
      </c>
      <c r="C36" s="52"/>
      <c r="D36" s="54">
        <v>10.0</v>
      </c>
      <c r="E36" s="53" t="s">
        <v>418</v>
      </c>
      <c r="F36" s="53" t="str">
        <f>IF(Calculations!C36&gt;=60%,10,
IF(Calculations!C36&gt;=40%,5,0))</f>
        <v>#DIV/0!</v>
      </c>
      <c r="G36" s="53">
        <f>IF(Calculations!D36&gt;=60%,10,
IF(Calculations!D36&gt;=40%,5,0))</f>
        <v>5</v>
      </c>
      <c r="H36" s="55">
        <v>5.0</v>
      </c>
      <c r="L36" s="63"/>
      <c r="M36" s="62"/>
    </row>
    <row r="37">
      <c r="A37" s="56"/>
      <c r="B37" s="57" t="s">
        <v>415</v>
      </c>
      <c r="C37" s="57"/>
      <c r="D37" s="58">
        <v>10.0</v>
      </c>
      <c r="E37" s="59" t="s">
        <v>419</v>
      </c>
      <c r="F37" s="59" t="str">
        <f>IF(Calculations!C37&gt;=80%,10,
IF(Calculations!C37&gt;=50%,5,0))</f>
        <v>#DIV/0!</v>
      </c>
      <c r="G37" s="59">
        <f>IF(Calculations!D37&gt;=80%,10,
IF(Calculations!D37&gt;=50%,5,0))</f>
        <v>5</v>
      </c>
      <c r="H37" s="60">
        <v>5.0</v>
      </c>
      <c r="L37" s="63"/>
      <c r="M37" s="62"/>
    </row>
    <row r="38">
      <c r="A38" s="61"/>
      <c r="B38" s="52" t="s">
        <v>415</v>
      </c>
      <c r="C38" s="52"/>
      <c r="D38" s="54">
        <v>10.0</v>
      </c>
      <c r="E38" s="53" t="s">
        <v>420</v>
      </c>
      <c r="F38" s="53">
        <f>IF(Calculations!C41&gt;=90%,10,
IF(Calculations!C41&gt;=70%,5,0))</f>
        <v>0</v>
      </c>
      <c r="G38" s="53">
        <f>IF(Calculations!D41&gt;=90%,10,
IF(Calculations!D41&gt;=70%,5,0))</f>
        <v>10</v>
      </c>
      <c r="H38" s="55">
        <v>10.0</v>
      </c>
      <c r="L38" s="63"/>
      <c r="M38" s="62"/>
    </row>
    <row r="39">
      <c r="A39" s="64">
        <v>11.0</v>
      </c>
      <c r="B39" s="57" t="s">
        <v>421</v>
      </c>
      <c r="C39" s="59">
        <v>40.0</v>
      </c>
      <c r="D39" s="58">
        <v>5.0</v>
      </c>
      <c r="E39" s="68" t="s">
        <v>247</v>
      </c>
      <c r="F39" s="59">
        <f>IF(Calculations!C39="Weekly",5,
IF(Calculations!C39="Monthly",2.5,
IF(Calculations!C39="Quarterly",1.5,
IF(Calculations!C39="Yearly",1,0))))</f>
        <v>0</v>
      </c>
      <c r="G39" s="59">
        <f>IF(Calculations!D39="Weekly",5,
IF(Calculations!D39="Monthly",2.5,
IF(Calculations!D39="Quarterly",1.5,
IF(Calculations!D39="Yearly",1,0))))</f>
        <v>5</v>
      </c>
      <c r="H39" s="60">
        <v>5.0</v>
      </c>
      <c r="L39" s="63"/>
      <c r="M39" s="65"/>
    </row>
    <row r="40">
      <c r="A40" s="61"/>
      <c r="B40" s="52" t="s">
        <v>421</v>
      </c>
      <c r="C40" s="52"/>
      <c r="D40" s="54">
        <v>5.0</v>
      </c>
      <c r="E40" s="69" t="s">
        <v>250</v>
      </c>
      <c r="F40" s="53">
        <f>IF(Calculations!C40="Always",5,
IF(Calculations!C40="Mostly",2.5,
IF(Calculations!C40="Sometimes",1.5,
IF(Calculations!C40="Decided among few",1,0))))</f>
        <v>0</v>
      </c>
      <c r="G40" s="53">
        <f>IF(Calculations!D40="Always",5,
IF(Calculations!D40="Mostly",2.5,
IF(Calculations!D40="Sometimes",1.5,
IF(Calculations!D40="Decided among few",1,0))))</f>
        <v>5</v>
      </c>
      <c r="H40" s="55">
        <v>5.0</v>
      </c>
      <c r="L40" s="63"/>
      <c r="M40" s="65"/>
    </row>
    <row r="41">
      <c r="A41" s="56"/>
      <c r="B41" s="57" t="s">
        <v>421</v>
      </c>
      <c r="C41" s="57"/>
      <c r="D41" s="58">
        <v>5.0</v>
      </c>
      <c r="E41" s="68" t="s">
        <v>388</v>
      </c>
      <c r="F41" s="59">
        <f>IF(Calculations!C41="Buying milk",5,
IF(Calculations!C41="Processing",2.5,
IF(Calculations!C41="members",1.5,
IF(Calculations!C41="1 area covered",1,0))))</f>
        <v>0</v>
      </c>
      <c r="G41" s="59">
        <f>IF(Calculations!D41="Buying milk",5,
IF(Calculations!D41="Processing",2.5,
IF(Calculations!D41="members",1.5,
IF(Calculations!D41="1 area covered",1,0))))</f>
        <v>5</v>
      </c>
      <c r="H41" s="60">
        <v>5.0</v>
      </c>
      <c r="L41" s="63"/>
      <c r="M41" s="65"/>
    </row>
    <row r="42">
      <c r="A42" s="61"/>
      <c r="B42" s="52" t="s">
        <v>421</v>
      </c>
      <c r="C42" s="52"/>
      <c r="D42" s="54">
        <v>5.0</v>
      </c>
      <c r="E42" s="69" t="s">
        <v>389</v>
      </c>
      <c r="F42" s="53">
        <f>IF(Calculations!C42="Easily Found",5,
IF(Calculations!C42="Mostly",2.5,
IF(Calculations!C42="Sometimes",1.5,
IF(Calculations!C42="Hard",1,0))))</f>
        <v>0</v>
      </c>
      <c r="G42" s="53">
        <f>IF(Calculations!D42="Easily Found",5,
IF(Calculations!D42="Mostly",2.5,
IF(Calculations!D42="Sometimes",1.5,
IF(Calculations!D42="Hard",1,0))))</f>
        <v>5</v>
      </c>
      <c r="H42" s="55">
        <v>5.0</v>
      </c>
      <c r="L42" s="63"/>
      <c r="M42" s="65"/>
    </row>
    <row r="43">
      <c r="A43" s="56"/>
      <c r="B43" s="57" t="s">
        <v>421</v>
      </c>
      <c r="C43" s="57"/>
      <c r="D43" s="58">
        <v>5.0</v>
      </c>
      <c r="E43" s="68" t="s">
        <v>390</v>
      </c>
      <c r="F43" s="59">
        <f>IF(Calculations!C43="Regularly",5,
IF(Calculations!C43="Occasionally",2.5,
IF(Calculations!C43="Once",1.5,
IF(Calculations!C43="Never",0,0))))</f>
        <v>0</v>
      </c>
      <c r="G43" s="59">
        <f>IF(Calculations!D43="Regularly",5,
IF(Calculations!D43="Occasionally",2.5,
IF(Calculations!D43="Once",1.5,
IF(Calculations!D43="Never",0,0))))</f>
        <v>5</v>
      </c>
      <c r="H43" s="60">
        <v>5.0</v>
      </c>
      <c r="L43" s="63"/>
      <c r="M43" s="65"/>
    </row>
    <row r="44">
      <c r="A44" s="70"/>
      <c r="B44" s="52" t="s">
        <v>421</v>
      </c>
      <c r="C44" s="52"/>
      <c r="D44" s="54">
        <v>5.0</v>
      </c>
      <c r="E44" s="69" t="s">
        <v>391</v>
      </c>
      <c r="F44" s="69">
        <f>IF(Calculations!C44="Always beforehand",5,
IF(Calculations!C44="Mostly beforehand",2.5,
IF(Calculations!C44="Sometimes beforehand",1.5,
IF(Calculations!C44="Only after implementation",1,0))))</f>
        <v>0</v>
      </c>
      <c r="G44" s="69">
        <f>IF(Calculations!D44="Always beforehand",5,
IF(Calculations!D44="Mostly beforehand",2.5,
IF(Calculations!D44="Sometimes beforehand",1.5,
IF(Calculations!D44="Only after implementation",1,0))))</f>
        <v>5</v>
      </c>
      <c r="H44" s="67">
        <v>5.0</v>
      </c>
      <c r="L44" s="63"/>
      <c r="M44" s="65"/>
    </row>
    <row r="45">
      <c r="A45" s="71"/>
      <c r="B45" s="57" t="s">
        <v>421</v>
      </c>
      <c r="C45" s="72"/>
      <c r="D45" s="73">
        <v>5.0</v>
      </c>
      <c r="E45" s="68" t="s">
        <v>392</v>
      </c>
      <c r="F45" s="68">
        <f>IF(Calculations!C45="Frequently",5,
IF(Calculations!C45="Sometimes",2.5,
IF(Calculations!C45="Never",1.5,0)))</f>
        <v>0</v>
      </c>
      <c r="G45" s="68">
        <f>IF(Calculations!D45="Frequently",5,
IF(Calculations!D45="Sometimes",2.5,
IF(Calculations!D45="Never",1.5,0)))</f>
        <v>5</v>
      </c>
      <c r="H45" s="74">
        <v>5.0</v>
      </c>
      <c r="L45" s="63"/>
      <c r="M45" s="65"/>
    </row>
    <row r="46">
      <c r="A46" s="75"/>
      <c r="B46" s="76" t="s">
        <v>421</v>
      </c>
      <c r="C46" s="77"/>
      <c r="D46" s="78">
        <v>5.0</v>
      </c>
      <c r="E46" s="79" t="s">
        <v>393</v>
      </c>
      <c r="F46" s="79">
        <f>IF(Calculations!C46="Proper Plan",5,
IF(Calculations!C46="Normal",2.5,
IF(Calculations!C46="Little Preparation",1.5,
IF(Calculations!C46="Nothing",0,0))))</f>
        <v>0</v>
      </c>
      <c r="G46" s="79">
        <f>IF(Calculations!D46="Proper Plan",5,
IF(Calculations!D46="Normal",2.5,
IF(Calculations!D46="Little Preparation",1.5,
IF(Calculations!D46="Nothing",0,0))))</f>
        <v>5</v>
      </c>
      <c r="H46" s="67">
        <v>5.0</v>
      </c>
      <c r="L46" s="63"/>
      <c r="M46" s="65"/>
    </row>
    <row r="51">
      <c r="F51" s="80" t="str">
        <f>SUM($F$2:$F$46)</f>
        <v>#DIV/0!</v>
      </c>
      <c r="G51" s="80">
        <f>SUM($G$2:$G$46)</f>
        <v>815</v>
      </c>
    </row>
    <row r="52">
      <c r="F52" s="81" t="str">
        <f t="shared" ref="F52:G52" si="1">IF(F51&gt;=850,"Risk Category A",
IF(F51&gt;=700,"Risk Category B",
IF(F51&gt;=500,"Risk Category C",
"Risk Category D")))</f>
        <v>#DIV/0!</v>
      </c>
      <c r="G52" s="81" t="str">
        <f t="shared" si="1"/>
        <v>Risk Category B</v>
      </c>
    </row>
  </sheetData>
  <drawing r:id="rId1"/>
  <tableParts count="3">
    <tablePart r:id="rId5"/>
    <tablePart r:id="rId6"/>
    <tablePart r:id="rId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25"/>
    <col customWidth="1" min="2" max="2" width="47.63"/>
    <col customWidth="1" min="3" max="3" width="23.0"/>
    <col customWidth="1" min="4" max="4" width="20.0"/>
    <col customWidth="1" min="5" max="5" width="25.13"/>
    <col customWidth="1" min="7" max="7" width="36.25"/>
  </cols>
  <sheetData>
    <row r="1">
      <c r="A1" s="82" t="s">
        <v>422</v>
      </c>
      <c r="B1" s="82" t="s">
        <v>423</v>
      </c>
    </row>
    <row r="2">
      <c r="A2" s="83" t="s">
        <v>10</v>
      </c>
      <c r="B2" s="84" t="s">
        <v>424</v>
      </c>
    </row>
    <row r="3">
      <c r="A3" s="83" t="s">
        <v>10</v>
      </c>
      <c r="B3" s="84" t="s">
        <v>425</v>
      </c>
    </row>
    <row r="4">
      <c r="A4" s="83" t="s">
        <v>13</v>
      </c>
      <c r="B4" s="84" t="s">
        <v>426</v>
      </c>
    </row>
    <row r="5">
      <c r="A5" s="83" t="s">
        <v>13</v>
      </c>
      <c r="B5" s="84" t="s">
        <v>427</v>
      </c>
    </row>
    <row r="6">
      <c r="A6" s="83" t="s">
        <v>32</v>
      </c>
      <c r="B6" s="84" t="s">
        <v>428</v>
      </c>
    </row>
    <row r="7">
      <c r="A7" s="83" t="s">
        <v>32</v>
      </c>
      <c r="B7" s="84" t="s">
        <v>429</v>
      </c>
    </row>
    <row r="8">
      <c r="A8" s="83" t="s">
        <v>32</v>
      </c>
      <c r="B8" s="84" t="s">
        <v>430</v>
      </c>
    </row>
    <row r="9">
      <c r="A9" s="85" t="s">
        <v>201</v>
      </c>
      <c r="B9" s="84" t="s">
        <v>431</v>
      </c>
    </row>
    <row r="10">
      <c r="A10" s="85" t="s">
        <v>201</v>
      </c>
      <c r="B10" s="84" t="s">
        <v>432</v>
      </c>
    </row>
    <row r="11">
      <c r="A11" s="85" t="s">
        <v>201</v>
      </c>
      <c r="B11" s="84" t="s">
        <v>433</v>
      </c>
    </row>
    <row r="12">
      <c r="A12" s="85" t="s">
        <v>206</v>
      </c>
      <c r="B12" s="84" t="s">
        <v>434</v>
      </c>
    </row>
    <row r="13">
      <c r="A13" s="85" t="s">
        <v>206</v>
      </c>
      <c r="B13" s="84" t="s">
        <v>435</v>
      </c>
    </row>
    <row r="14">
      <c r="A14" s="85" t="s">
        <v>206</v>
      </c>
      <c r="B14" s="84" t="s">
        <v>436</v>
      </c>
    </row>
    <row r="15">
      <c r="A15" s="85" t="s">
        <v>215</v>
      </c>
      <c r="B15" s="86" t="s">
        <v>437</v>
      </c>
    </row>
    <row r="16">
      <c r="A16" s="85" t="s">
        <v>215</v>
      </c>
      <c r="B16" s="86" t="s">
        <v>438</v>
      </c>
    </row>
    <row r="17">
      <c r="A17" s="85" t="s">
        <v>215</v>
      </c>
      <c r="B17" s="86" t="s">
        <v>439</v>
      </c>
    </row>
    <row r="18">
      <c r="A18" s="85" t="s">
        <v>218</v>
      </c>
      <c r="B18" s="86" t="s">
        <v>440</v>
      </c>
    </row>
    <row r="19">
      <c r="A19" s="85" t="s">
        <v>218</v>
      </c>
      <c r="B19" s="86" t="s">
        <v>441</v>
      </c>
    </row>
    <row r="20">
      <c r="A20" s="85" t="s">
        <v>218</v>
      </c>
      <c r="B20" s="86" t="s">
        <v>442</v>
      </c>
    </row>
    <row r="21">
      <c r="A21" s="85" t="s">
        <v>221</v>
      </c>
      <c r="B21" s="86" t="s">
        <v>443</v>
      </c>
    </row>
    <row r="22">
      <c r="A22" s="85" t="s">
        <v>221</v>
      </c>
      <c r="B22" s="86" t="s">
        <v>444</v>
      </c>
    </row>
    <row r="23">
      <c r="A23" s="85" t="s">
        <v>224</v>
      </c>
      <c r="B23" s="86" t="s">
        <v>443</v>
      </c>
    </row>
    <row r="24">
      <c r="A24" s="85" t="s">
        <v>224</v>
      </c>
      <c r="B24" s="86" t="s">
        <v>444</v>
      </c>
    </row>
    <row r="25">
      <c r="A25" s="85" t="s">
        <v>226</v>
      </c>
      <c r="B25" s="86" t="s">
        <v>443</v>
      </c>
    </row>
    <row r="26">
      <c r="A26" s="85" t="s">
        <v>226</v>
      </c>
      <c r="B26" s="86" t="s">
        <v>444</v>
      </c>
    </row>
    <row r="27">
      <c r="A27" s="85" t="s">
        <v>228</v>
      </c>
      <c r="B27" s="86" t="s">
        <v>445</v>
      </c>
    </row>
    <row r="28">
      <c r="A28" s="85" t="s">
        <v>228</v>
      </c>
      <c r="B28" s="86" t="s">
        <v>446</v>
      </c>
    </row>
    <row r="29">
      <c r="A29" s="85" t="s">
        <v>228</v>
      </c>
      <c r="B29" s="86" t="s">
        <v>447</v>
      </c>
    </row>
    <row r="30">
      <c r="A30" s="85" t="s">
        <v>231</v>
      </c>
      <c r="B30" s="86" t="s">
        <v>443</v>
      </c>
    </row>
    <row r="31">
      <c r="A31" s="85" t="s">
        <v>231</v>
      </c>
      <c r="B31" s="86" t="s">
        <v>444</v>
      </c>
    </row>
    <row r="32">
      <c r="A32" s="85" t="s">
        <v>233</v>
      </c>
      <c r="B32" s="86" t="s">
        <v>443</v>
      </c>
    </row>
    <row r="33">
      <c r="A33" s="85" t="s">
        <v>233</v>
      </c>
      <c r="B33" s="86" t="s">
        <v>444</v>
      </c>
    </row>
    <row r="34">
      <c r="A34" s="85" t="s">
        <v>235</v>
      </c>
      <c r="B34" s="86" t="s">
        <v>448</v>
      </c>
    </row>
    <row r="35">
      <c r="A35" s="85" t="s">
        <v>235</v>
      </c>
      <c r="B35" s="86" t="s">
        <v>449</v>
      </c>
    </row>
    <row r="36">
      <c r="A36" s="85" t="s">
        <v>235</v>
      </c>
      <c r="B36" s="86" t="s">
        <v>442</v>
      </c>
    </row>
    <row r="37">
      <c r="A37" s="85" t="s">
        <v>238</v>
      </c>
      <c r="B37" s="86" t="s">
        <v>450</v>
      </c>
    </row>
    <row r="38">
      <c r="A38" s="85" t="s">
        <v>238</v>
      </c>
      <c r="B38" s="86" t="s">
        <v>451</v>
      </c>
    </row>
    <row r="39">
      <c r="A39" s="85" t="s">
        <v>238</v>
      </c>
      <c r="B39" s="86" t="s">
        <v>452</v>
      </c>
    </row>
    <row r="40">
      <c r="A40" s="85" t="s">
        <v>242</v>
      </c>
      <c r="B40" s="86" t="s">
        <v>453</v>
      </c>
    </row>
    <row r="41">
      <c r="A41" s="85" t="s">
        <v>242</v>
      </c>
      <c r="B41" s="86" t="s">
        <v>454</v>
      </c>
    </row>
    <row r="42">
      <c r="A42" s="85" t="s">
        <v>242</v>
      </c>
      <c r="B42" s="86" t="s">
        <v>455</v>
      </c>
    </row>
    <row r="43">
      <c r="A43" s="85" t="s">
        <v>242</v>
      </c>
      <c r="B43" s="86" t="s">
        <v>456</v>
      </c>
    </row>
    <row r="44">
      <c r="A44" s="85" t="s">
        <v>242</v>
      </c>
      <c r="B44" s="86" t="s">
        <v>457</v>
      </c>
    </row>
    <row r="45">
      <c r="A45" s="87" t="s">
        <v>247</v>
      </c>
      <c r="B45" s="86" t="s">
        <v>458</v>
      </c>
    </row>
    <row r="46">
      <c r="A46" s="87" t="s">
        <v>247</v>
      </c>
      <c r="B46" s="86" t="s">
        <v>428</v>
      </c>
    </row>
    <row r="47">
      <c r="A47" s="87" t="s">
        <v>247</v>
      </c>
      <c r="B47" s="86" t="s">
        <v>429</v>
      </c>
    </row>
    <row r="48">
      <c r="A48" s="87" t="s">
        <v>247</v>
      </c>
      <c r="B48" s="86" t="s">
        <v>459</v>
      </c>
    </row>
    <row r="49">
      <c r="A49" s="87" t="s">
        <v>250</v>
      </c>
      <c r="B49" s="86" t="s">
        <v>460</v>
      </c>
    </row>
    <row r="50">
      <c r="A50" s="87" t="s">
        <v>250</v>
      </c>
      <c r="B50" s="86" t="s">
        <v>461</v>
      </c>
    </row>
    <row r="51">
      <c r="A51" s="87" t="s">
        <v>250</v>
      </c>
      <c r="B51" s="86" t="s">
        <v>462</v>
      </c>
    </row>
    <row r="52">
      <c r="A52" s="87" t="s">
        <v>250</v>
      </c>
      <c r="B52" s="86" t="s">
        <v>463</v>
      </c>
    </row>
    <row r="53">
      <c r="A53" s="87" t="s">
        <v>253</v>
      </c>
      <c r="B53" s="86" t="s">
        <v>464</v>
      </c>
    </row>
    <row r="54">
      <c r="A54" s="87" t="s">
        <v>253</v>
      </c>
      <c r="B54" s="86" t="s">
        <v>425</v>
      </c>
    </row>
    <row r="55">
      <c r="A55" s="87" t="s">
        <v>253</v>
      </c>
      <c r="B55" s="86" t="s">
        <v>465</v>
      </c>
    </row>
    <row r="56">
      <c r="A56" s="87" t="s">
        <v>253</v>
      </c>
      <c r="B56" s="86" t="s">
        <v>466</v>
      </c>
    </row>
    <row r="57">
      <c r="A57" s="87" t="s">
        <v>256</v>
      </c>
      <c r="B57" s="86" t="s">
        <v>467</v>
      </c>
    </row>
    <row r="58">
      <c r="A58" s="87" t="s">
        <v>256</v>
      </c>
      <c r="B58" s="86" t="s">
        <v>461</v>
      </c>
    </row>
    <row r="59">
      <c r="A59" s="87" t="s">
        <v>256</v>
      </c>
      <c r="B59" s="86" t="s">
        <v>462</v>
      </c>
    </row>
    <row r="60">
      <c r="A60" s="87" t="s">
        <v>256</v>
      </c>
      <c r="B60" s="86" t="s">
        <v>468</v>
      </c>
    </row>
    <row r="61">
      <c r="A61" s="87" t="s">
        <v>259</v>
      </c>
      <c r="B61" s="86" t="s">
        <v>431</v>
      </c>
    </row>
    <row r="62">
      <c r="A62" s="87" t="s">
        <v>259</v>
      </c>
      <c r="B62" s="86" t="s">
        <v>469</v>
      </c>
    </row>
    <row r="63">
      <c r="A63" s="87" t="s">
        <v>259</v>
      </c>
      <c r="B63" s="86" t="s">
        <v>470</v>
      </c>
    </row>
    <row r="64">
      <c r="A64" s="87" t="s">
        <v>259</v>
      </c>
      <c r="B64" s="86" t="s">
        <v>471</v>
      </c>
    </row>
    <row r="65">
      <c r="A65" s="87" t="s">
        <v>262</v>
      </c>
      <c r="B65" s="86" t="s">
        <v>472</v>
      </c>
      <c r="C65" s="88"/>
    </row>
    <row r="66">
      <c r="A66" s="87" t="s">
        <v>262</v>
      </c>
      <c r="B66" s="86" t="s">
        <v>473</v>
      </c>
    </row>
    <row r="67">
      <c r="A67" s="87" t="s">
        <v>262</v>
      </c>
      <c r="B67" s="86" t="s">
        <v>474</v>
      </c>
    </row>
    <row r="68">
      <c r="A68" s="87" t="s">
        <v>262</v>
      </c>
      <c r="B68" s="86" t="s">
        <v>475</v>
      </c>
    </row>
    <row r="69">
      <c r="A69" s="87" t="s">
        <v>265</v>
      </c>
      <c r="B69" s="86" t="s">
        <v>431</v>
      </c>
    </row>
    <row r="70">
      <c r="A70" s="87" t="s">
        <v>265</v>
      </c>
      <c r="B70" s="86" t="s">
        <v>461</v>
      </c>
    </row>
    <row r="71">
      <c r="A71" s="87" t="s">
        <v>265</v>
      </c>
      <c r="B71" s="86" t="s">
        <v>476</v>
      </c>
    </row>
    <row r="72">
      <c r="A72" s="89" t="s">
        <v>268</v>
      </c>
      <c r="B72" s="86" t="s">
        <v>477</v>
      </c>
      <c r="D72" s="90"/>
    </row>
    <row r="73">
      <c r="A73" s="89" t="s">
        <v>268</v>
      </c>
      <c r="B73" s="86" t="s">
        <v>478</v>
      </c>
    </row>
    <row r="74">
      <c r="A74" s="89" t="s">
        <v>268</v>
      </c>
      <c r="B74" s="86" t="s">
        <v>479</v>
      </c>
    </row>
    <row r="75">
      <c r="A75" s="89" t="s">
        <v>268</v>
      </c>
      <c r="B75" s="86" t="s">
        <v>480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88"/>
    <col customWidth="1" min="2" max="2" width="20.25"/>
    <col customWidth="1" min="5" max="5" width="43.0"/>
    <col customWidth="1" min="6" max="6" width="116.88"/>
    <col customWidth="1" min="7" max="7" width="24.75"/>
    <col customWidth="1" min="8" max="8" width="14.88"/>
    <col customWidth="1" min="9" max="9" width="14.63"/>
    <col customWidth="1" min="10" max="10" width="21.25"/>
  </cols>
  <sheetData>
    <row r="1">
      <c r="A1" s="91" t="s">
        <v>481</v>
      </c>
      <c r="B1" s="91" t="s">
        <v>482</v>
      </c>
      <c r="C1" s="91" t="s">
        <v>483</v>
      </c>
      <c r="D1" s="91" t="s">
        <v>484</v>
      </c>
      <c r="E1" s="91" t="s">
        <v>485</v>
      </c>
      <c r="F1" s="91" t="s">
        <v>486</v>
      </c>
      <c r="G1" s="91" t="s">
        <v>487</v>
      </c>
      <c r="H1" s="91" t="s">
        <v>488</v>
      </c>
      <c r="I1" s="91" t="s">
        <v>489</v>
      </c>
      <c r="J1" s="91" t="s">
        <v>490</v>
      </c>
    </row>
    <row r="2">
      <c r="A2" s="91" t="s">
        <v>491</v>
      </c>
      <c r="B2" s="92">
        <v>46099.39951693287</v>
      </c>
      <c r="C2" s="93">
        <v>299.0</v>
      </c>
      <c r="D2" s="91" t="s">
        <v>492</v>
      </c>
      <c r="E2" s="91" t="s">
        <v>493</v>
      </c>
      <c r="F2" s="91" t="s">
        <v>494</v>
      </c>
      <c r="G2" s="91" t="s">
        <v>495</v>
      </c>
      <c r="H2" s="91" t="s">
        <v>496</v>
      </c>
    </row>
    <row r="3">
      <c r="A3" s="91" t="s">
        <v>497</v>
      </c>
      <c r="B3" s="92">
        <v>46099.402165590276</v>
      </c>
      <c r="C3" s="93">
        <v>900.0</v>
      </c>
      <c r="D3" s="91" t="s">
        <v>498</v>
      </c>
      <c r="E3" s="91" t="s">
        <v>499</v>
      </c>
      <c r="F3" s="91" t="s">
        <v>500</v>
      </c>
      <c r="G3" s="91" t="s">
        <v>501</v>
      </c>
      <c r="H3" s="91" t="s">
        <v>496</v>
      </c>
    </row>
    <row r="4">
      <c r="A4" s="91" t="s">
        <v>502</v>
      </c>
      <c r="B4" s="92">
        <v>46099.42030346065</v>
      </c>
      <c r="C4" s="93">
        <v>900.0</v>
      </c>
      <c r="D4" s="91" t="s">
        <v>498</v>
      </c>
      <c r="E4" s="91" t="s">
        <v>499</v>
      </c>
      <c r="F4" s="91" t="s">
        <v>503</v>
      </c>
      <c r="G4" s="91" t="s">
        <v>504</v>
      </c>
      <c r="H4" s="91" t="s">
        <v>496</v>
      </c>
    </row>
    <row r="5">
      <c r="A5" s="91" t="s">
        <v>505</v>
      </c>
      <c r="B5" s="92">
        <v>46099.43085444444</v>
      </c>
      <c r="C5" s="93">
        <v>519.0</v>
      </c>
      <c r="D5" s="91" t="s">
        <v>506</v>
      </c>
      <c r="E5" s="91" t="s">
        <v>507</v>
      </c>
      <c r="F5" s="91" t="s">
        <v>508</v>
      </c>
      <c r="G5" s="91" t="s">
        <v>509</v>
      </c>
      <c r="H5" s="91" t="s">
        <v>510</v>
      </c>
      <c r="I5" s="91" t="s">
        <v>511</v>
      </c>
      <c r="J5" s="91" t="s">
        <v>512</v>
      </c>
    </row>
    <row r="6">
      <c r="A6" s="91" t="s">
        <v>513</v>
      </c>
      <c r="B6" s="92">
        <v>46099.43217667824</v>
      </c>
      <c r="C6" s="93">
        <v>749.0</v>
      </c>
      <c r="D6" s="91" t="s">
        <v>514</v>
      </c>
      <c r="E6" s="91" t="s">
        <v>515</v>
      </c>
      <c r="F6" s="91" t="s">
        <v>516</v>
      </c>
      <c r="G6" s="91" t="s">
        <v>517</v>
      </c>
      <c r="H6" s="91" t="s">
        <v>518</v>
      </c>
      <c r="I6" s="91" t="s">
        <v>519</v>
      </c>
      <c r="J6" s="91" t="s">
        <v>520</v>
      </c>
    </row>
    <row r="7">
      <c r="A7" s="91" t="s">
        <v>521</v>
      </c>
      <c r="B7" s="92">
        <v>46099.453558912035</v>
      </c>
      <c r="C7" s="93">
        <v>749.0</v>
      </c>
      <c r="D7" s="91" t="s">
        <v>514</v>
      </c>
      <c r="E7" s="91" t="s">
        <v>515</v>
      </c>
      <c r="F7" s="91" t="s">
        <v>516</v>
      </c>
      <c r="G7" s="91" t="s">
        <v>522</v>
      </c>
      <c r="H7" s="91" t="s">
        <v>496</v>
      </c>
    </row>
    <row r="8">
      <c r="A8" s="91" t="s">
        <v>523</v>
      </c>
      <c r="B8" s="92">
        <v>46099.464488530095</v>
      </c>
      <c r="C8" s="93">
        <v>900.0</v>
      </c>
      <c r="D8" s="91" t="s">
        <v>498</v>
      </c>
      <c r="E8" s="91" t="s">
        <v>499</v>
      </c>
      <c r="F8" s="91" t="s">
        <v>500</v>
      </c>
      <c r="G8" s="91" t="s">
        <v>524</v>
      </c>
      <c r="H8" s="91" t="s">
        <v>496</v>
      </c>
    </row>
    <row r="9">
      <c r="A9" s="91" t="s">
        <v>525</v>
      </c>
      <c r="B9" s="92">
        <v>46099.475507986106</v>
      </c>
      <c r="C9" s="93">
        <v>614.0</v>
      </c>
      <c r="D9" s="91" t="s">
        <v>506</v>
      </c>
      <c r="E9" s="91" t="s">
        <v>526</v>
      </c>
      <c r="F9" s="91" t="s">
        <v>527</v>
      </c>
      <c r="G9" s="91" t="s">
        <v>528</v>
      </c>
      <c r="H9" s="91" t="s">
        <v>496</v>
      </c>
    </row>
    <row r="10">
      <c r="A10" s="91" t="s">
        <v>529</v>
      </c>
      <c r="B10" s="92">
        <v>46099.48110961806</v>
      </c>
      <c r="C10" s="93">
        <v>900.0</v>
      </c>
      <c r="D10" s="91" t="s">
        <v>498</v>
      </c>
      <c r="E10" s="91" t="s">
        <v>499</v>
      </c>
      <c r="F10" s="91" t="s">
        <v>500</v>
      </c>
      <c r="G10" s="91" t="s">
        <v>530</v>
      </c>
      <c r="H10" s="91" t="s">
        <v>496</v>
      </c>
    </row>
    <row r="11">
      <c r="B11" s="92"/>
    </row>
    <row r="12">
      <c r="B12" s="92"/>
    </row>
    <row r="13">
      <c r="B13" s="92"/>
    </row>
    <row r="14">
      <c r="B14" s="92"/>
    </row>
    <row r="15">
      <c r="B15" s="92"/>
    </row>
    <row r="16">
      <c r="B16" s="92"/>
    </row>
    <row r="17">
      <c r="B17" s="92"/>
    </row>
    <row r="18">
      <c r="B18" s="92"/>
    </row>
    <row r="19">
      <c r="B19" s="9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63"/>
    <col customWidth="1" min="2" max="2" width="59.0"/>
    <col customWidth="1" min="3" max="3" width="18.38"/>
    <col customWidth="1" min="4" max="4" width="17.38"/>
    <col customWidth="1" min="5" max="5" width="49.5"/>
    <col customWidth="1" min="6" max="6" width="40.25"/>
  </cols>
  <sheetData>
    <row r="1">
      <c r="A1" s="91" t="s">
        <v>531</v>
      </c>
      <c r="B1" s="91" t="s">
        <v>532</v>
      </c>
      <c r="C1" s="91" t="s">
        <v>533</v>
      </c>
      <c r="D1" s="91" t="s">
        <v>534</v>
      </c>
      <c r="E1" s="91" t="s">
        <v>535</v>
      </c>
      <c r="F1" s="91" t="s">
        <v>536</v>
      </c>
    </row>
    <row r="2">
      <c r="A2" s="91" t="s">
        <v>537</v>
      </c>
      <c r="B2" s="91" t="s">
        <v>538</v>
      </c>
      <c r="C2" s="91" t="s">
        <v>539</v>
      </c>
      <c r="D2" s="91" t="s">
        <v>540</v>
      </c>
      <c r="E2" s="94">
        <v>46099.46475119213</v>
      </c>
      <c r="F2" s="94">
        <v>46099.33655222222</v>
      </c>
    </row>
    <row r="3">
      <c r="A3" s="91" t="s">
        <v>519</v>
      </c>
      <c r="B3" s="91" t="s">
        <v>538</v>
      </c>
      <c r="C3" s="91" t="s">
        <v>539</v>
      </c>
      <c r="D3" s="91" t="s">
        <v>540</v>
      </c>
      <c r="E3" s="94">
        <v>46099.47625128472</v>
      </c>
      <c r="F3" s="94">
        <v>46098.438512962966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29.25"/>
    <col customWidth="1" min="3" max="3" width="22.88"/>
    <col customWidth="1" min="4" max="4" width="77.88"/>
  </cols>
  <sheetData>
    <row r="1">
      <c r="A1" s="95" t="s">
        <v>541</v>
      </c>
      <c r="B1" s="96" t="s">
        <v>7</v>
      </c>
      <c r="C1" s="95" t="s">
        <v>542</v>
      </c>
      <c r="D1" s="95" t="s">
        <v>543</v>
      </c>
    </row>
    <row r="2">
      <c r="C2" s="92"/>
    </row>
    <row r="3">
      <c r="C3" s="92"/>
    </row>
    <row r="4">
      <c r="C4" s="92"/>
    </row>
    <row r="5">
      <c r="C5" s="92"/>
    </row>
    <row r="6">
      <c r="C6" s="92"/>
    </row>
    <row r="7">
      <c r="C7" s="92"/>
    </row>
    <row r="8">
      <c r="C8" s="92"/>
    </row>
    <row r="9">
      <c r="C9" s="92"/>
    </row>
    <row r="10">
      <c r="C10" s="92"/>
    </row>
    <row r="11">
      <c r="C11" s="92"/>
    </row>
    <row r="12">
      <c r="C12" s="92"/>
    </row>
    <row r="13">
      <c r="C13" s="92"/>
    </row>
    <row r="14">
      <c r="C14" s="92"/>
    </row>
    <row r="15">
      <c r="C15" s="92"/>
    </row>
    <row r="16">
      <c r="C16" s="92"/>
    </row>
    <row r="17">
      <c r="C17" s="92"/>
    </row>
    <row r="18">
      <c r="C18" s="92"/>
    </row>
    <row r="19">
      <c r="C19" s="92"/>
    </row>
    <row r="20">
      <c r="C20" s="92"/>
    </row>
    <row r="21">
      <c r="C21" s="92"/>
    </row>
    <row r="22">
      <c r="C22" s="92"/>
    </row>
    <row r="23">
      <c r="C23" s="92"/>
    </row>
    <row r="24">
      <c r="C24" s="92"/>
    </row>
    <row r="25">
      <c r="C25" s="92"/>
    </row>
    <row r="26">
      <c r="C26" s="92"/>
    </row>
    <row r="27">
      <c r="C27" s="92"/>
    </row>
    <row r="28">
      <c r="C28" s="92"/>
    </row>
    <row r="29">
      <c r="C29" s="92"/>
    </row>
    <row r="30">
      <c r="C30" s="92"/>
    </row>
    <row r="31">
      <c r="C31" s="92"/>
    </row>
    <row r="32">
      <c r="C32" s="92"/>
    </row>
    <row r="33">
      <c r="C33" s="92"/>
    </row>
    <row r="34">
      <c r="C34" s="92"/>
    </row>
    <row r="35">
      <c r="C35" s="92"/>
    </row>
    <row r="36">
      <c r="C36" s="92"/>
    </row>
    <row r="37">
      <c r="C37" s="92"/>
    </row>
    <row r="38">
      <c r="C38" s="92"/>
    </row>
    <row r="39">
      <c r="C39" s="92"/>
    </row>
    <row r="40">
      <c r="C40" s="92"/>
    </row>
    <row r="41">
      <c r="C41" s="92"/>
    </row>
    <row r="42">
      <c r="C42" s="92"/>
    </row>
    <row r="43">
      <c r="C43" s="92"/>
    </row>
    <row r="44">
      <c r="C44" s="92"/>
    </row>
    <row r="45">
      <c r="C45" s="92"/>
    </row>
    <row r="46">
      <c r="C46" s="92"/>
    </row>
    <row r="47">
      <c r="C47" s="92"/>
    </row>
    <row r="48">
      <c r="C48" s="92"/>
    </row>
    <row r="49">
      <c r="C49" s="92"/>
    </row>
    <row r="50">
      <c r="C50" s="92"/>
    </row>
    <row r="51">
      <c r="C51" s="92"/>
    </row>
    <row r="52">
      <c r="C52" s="92"/>
    </row>
    <row r="53">
      <c r="C53" s="92"/>
    </row>
    <row r="54">
      <c r="C54" s="92"/>
    </row>
    <row r="55">
      <c r="C55" s="92"/>
    </row>
    <row r="56">
      <c r="C56" s="92"/>
    </row>
    <row r="57">
      <c r="C57" s="92"/>
    </row>
    <row r="58">
      <c r="C58" s="92"/>
    </row>
    <row r="59">
      <c r="C59" s="92"/>
    </row>
    <row r="60">
      <c r="C60" s="92"/>
    </row>
    <row r="61">
      <c r="C61" s="92"/>
    </row>
    <row r="62">
      <c r="C62" s="92"/>
    </row>
    <row r="63">
      <c r="C63" s="92"/>
    </row>
    <row r="64">
      <c r="C64" s="92"/>
    </row>
    <row r="65">
      <c r="C65" s="92"/>
    </row>
    <row r="66">
      <c r="C66" s="92"/>
    </row>
    <row r="67">
      <c r="C67" s="92"/>
    </row>
  </sheetData>
  <drawing r:id="rId1"/>
</worksheet>
</file>